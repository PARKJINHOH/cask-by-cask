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adcd7696b84537" /></Relationships>
</file>

<file path=xl/workbook.xml><?xml version="1.0" encoding="utf-8"?>
<x:workbook xmlns:x="http://schemas.openxmlformats.org/spreadsheetml/2006/main">
  <x:sheets>
    <x:sheet xmlns:r="http://schemas.openxmlformats.org/officeDocument/2006/relationships" name="요약" sheetId="1" r:id="R4f518a748ae34044"/>
    <x:sheet xmlns:r="http://schemas.openxmlformats.org/officeDocument/2006/relationships" name="등록용_확정" sheetId="2" r:id="Ra3756704dd814974"/>
    <x:sheet xmlns:r="http://schemas.openxmlformats.org/officeDocument/2006/relationships" name="검토필요_후보" sheetId="3" r:id="R708c888a781b4576"/>
    <x:sheet xmlns:r="http://schemas.openxmlformats.org/officeDocument/2006/relationships" name="제외_중복" sheetId="4" r:id="Rd4bcafe2588440f8"/>
    <x:sheet xmlns:r="http://schemas.openxmlformats.org/officeDocument/2006/relationships" name="조사기준" sheetId="5" r:id="R6a8011b89093445d"/>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i/>
      <x:sz val="10"/>
      <x:color rgb="FF334155"/>
      <x:name val="Carlito"/>
    </x:font>
    <x:font>
      <x:b/>
      <x:sz val="11"/>
      <x:color rgb="FFFFFFFF"/>
      <x:name val="Carlito"/>
    </x:font>
    <x:font>
      <x:sz val="9"/>
      <x:color rgb="FF1F2937"/>
      <x:name val="Carlito"/>
    </x:font>
    <x:font>
      <x:sz val="9"/>
      <x:name val="Carlito"/>
    </x:font>
    <x:font>
      <x:sz val="10"/>
      <x:name val="Carlito"/>
    </x:font>
    <x:font>
      <x:b/>
      <x:sz val="14"/>
      <x:color rgb="FF78350F"/>
      <x:name val="Carlito"/>
    </x:font>
    <x:font>
      <x:b/>
      <x:sz val="13"/>
      <x:color rgb="FF78350F"/>
      <x:name val="Carlito"/>
    </x:font>
    <x:font>
      <x:b/>
      <x:sz val="11"/>
      <x:color rgb="FFB91C1C"/>
      <x:name val="Carlito"/>
    </x:font>
  </x:fonts>
  <x:fills count="8">
    <x:fill>
      <x:patternFill patternType="none"/>
    </x:fill>
    <x:fill>
      <x:patternFill patternType="gray125"/>
    </x:fill>
    <x:fill>
      <x:patternFill patternType="solid">
        <x:fgColor rgb="FF78350F"/>
      </x:patternFill>
    </x:fill>
    <x:fill>
      <x:patternFill patternType="solid">
        <x:fgColor rgb="FFFEF3C7"/>
      </x:patternFill>
    </x:fill>
    <x:fill>
      <x:patternFill patternType="solid">
        <x:fgColor rgb="FFB45309"/>
      </x:patternFill>
    </x:fill>
    <x:fill>
      <x:patternFill patternType="solid">
        <x:fgColor rgb="FFFFFBEB"/>
      </x:patternFill>
    </x:fill>
    <x:fill>
      <x:patternFill patternType="solid">
        <x:fgColor rgb="FFFFFFFF"/>
      </x:patternFill>
    </x:fill>
    <x:fill>
      <x:patternFill patternType="solid">
        <x:fgColor rgb="FFFEE2E2"/>
      </x:patternFill>
    </x:fill>
  </x:fills>
  <x:borders count="6">
    <x:border/>
    <x:border>
      <x:left style="thin">
        <x:color rgb="FFD6A36A"/>
      </x:left>
      <x:right style="thin">
        <x:color rgb="FFD6A36A"/>
      </x:right>
      <x:top style="thin">
        <x:color rgb="FFD6A36A"/>
      </x:top>
      <x:bottom style="thin">
        <x:color rgb="FFD6A36A"/>
      </x:bottom>
    </x:border>
    <x:border>
      <x:left style="thin">
        <x:color rgb="FFE2E8F0"/>
      </x:left>
      <x:right style="thin">
        <x:color rgb="FFE2E8F0"/>
      </x:right>
      <x:top style="thin">
        <x:color rgb="FFE2E8F0"/>
      </x:top>
      <x:bottom style="thin">
        <x:color rgb="FFE2E8F0"/>
      </x:bottom>
    </x:border>
    <x:border>
      <x:left style="medium">
        <x:color rgb="FFFCA5A5"/>
      </x:left>
      <x:top style="medium">
        <x:color rgb="FFFCA5A5"/>
      </x:top>
      <x:bottom style="medium">
        <x:color rgb="FFFCA5A5"/>
      </x:bottom>
    </x:border>
    <x:border>
      <x:top style="medium">
        <x:color rgb="FFFCA5A5"/>
      </x:top>
      <x:bottom style="medium">
        <x:color rgb="FFFCA5A5"/>
      </x:bottom>
    </x:border>
    <x:border>
      <x:right style="medium">
        <x:color rgb="FFFCA5A5"/>
      </x:right>
      <x:top style="medium">
        <x:color rgb="FFFCA5A5"/>
      </x:top>
      <x:bottom style="medium">
        <x:color rgb="FFFCA5A5"/>
      </x:bottom>
    </x:border>
  </x:borders>
  <x:cellStyleXfs count="1">
    <x:xf numFmtId="0" fontId="0" fillId="0" borderId="0"/>
  </x:cellStyleXfs>
  <x:cellXfs count="5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0" fontId="6" fillId="0" borderId="0" xfId="0" applyNumberFormat="1" applyFont="1" applyFill="1" applyBorder="1"/>
    <x:xf numFmtId="0" fontId="6" fillId="0" borderId="2" xfId="0" applyNumberFormat="1" applyFont="1" applyFill="1" applyBorder="1"/>
    <x:xf numFmtId="0" fontId="6" fillId="0" borderId="2" xfId="0" applyNumberFormat="1" applyFont="1" applyFill="1" applyBorder="1" applyAlignment="1">
      <x:alignment wrapText="1"/>
    </x:xf>
    <x:xf numFmtId="0" fontId="6" fillId="0" borderId="2" xfId="0" applyNumberFormat="1" applyFont="1" applyFill="1" applyBorder="1" applyAlignment="1">
      <x:alignment vertical="top" wrapText="1"/>
    </x:xf>
    <x:xf numFmtId="0" fontId="3" fillId="4" borderId="1" xfId="0" applyNumberFormat="1" applyFont="1" applyFill="1" applyBorder="1" applyAlignment="1">
      <x:alignment horizontal="center"/>
    </x:xf>
    <x:xf numFmtId="0" fontId="0" fillId="0" borderId="0" xfId="0" applyNumberFormat="1" applyFont="1" applyFill="1" applyBorder="1"/>
    <x:xf numFmtId="0" fontId="0" fillId="0" borderId="2" xfId="0" applyNumberFormat="1" applyFont="1" applyFill="1" applyBorder="1"/>
    <x:xf numFmtId="0" fontId="0" fillId="0" borderId="2" xfId="0" applyNumberFormat="1" applyFont="1" applyFill="1" applyBorder="1" applyAlignment="1">
      <x:alignment vertical="center"/>
    </x:xf>
    <x:xf numFmtId="0" fontId="0" fillId="5" borderId="2" xfId="0" applyNumberFormat="1" applyFont="1" applyFill="1" applyBorder="1" applyAlignment="1">
      <x:alignment vertical="center"/>
    </x:xf>
    <x:xf numFmtId="0" fontId="7" fillId="5" borderId="2" xfId="0" applyNumberFormat="1" applyFont="1" applyFill="1" applyBorder="1" applyAlignment="1">
      <x:alignment vertical="center"/>
    </x:xf>
    <x:xf numFmtId="0" fontId="7" fillId="5" borderId="2"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wrapText="1"/>
    </x:xf>
    <x:xf numFmtId="0" fontId="6" fillId="6" borderId="2" xfId="0" applyNumberFormat="1" applyFont="1" applyFill="1" applyBorder="1" applyAlignment="1">
      <x:alignment vertical="center" wrapText="1"/>
    </x:xf>
    <x:xf numFmtId="0" fontId="6" fillId="3" borderId="2" xfId="0" applyNumberFormat="1" applyFont="1" applyFill="1" applyBorder="1" applyAlignment="1">
      <x:alignment vertical="center" wrapText="1"/>
    </x:xf>
    <x:xf numFmtId="0" fontId="8" fillId="3" borderId="2" xfId="0" applyNumberFormat="1" applyFont="1" applyFill="1" applyBorder="1" applyAlignment="1">
      <x:alignment vertical="center" wrapText="1"/>
    </x:xf>
    <x:xf numFmtId="0" fontId="8" fillId="3" borderId="2" xfId="0" applyNumberFormat="1" applyFont="1" applyFill="1" applyBorder="1" applyAlignment="1">
      <x:alignment horizontal="center" vertical="center" wrapText="1"/>
    </x:xf>
    <x:xf numFmtId="0" fontId="0" fillId="7" borderId="0" xfId="0" applyNumberFormat="1" applyFont="1" applyFill="1" applyBorder="1"/>
    <x:xf numFmtId="0" fontId="9" fillId="7" borderId="0" xfId="0" applyNumberFormat="1" applyFont="1" applyFill="1" applyBorder="1"/>
    <x:xf numFmtId="0" fontId="9" fillId="7" borderId="3" xfId="0" applyNumberFormat="1" applyFont="1" applyFill="1" applyBorder="1"/>
    <x:xf numFmtId="0" fontId="9" fillId="7" borderId="4" xfId="0" applyNumberFormat="1" applyFont="1" applyFill="1" applyBorder="1"/>
    <x:xf numFmtId="0" fontId="9" fillId="7" borderId="5" xfId="0" applyNumberFormat="1" applyFont="1" applyFill="1" applyBorder="1"/>
    <x:xf numFmtId="0" fontId="9" fillId="7" borderId="3" xfId="0" applyNumberFormat="1" applyFont="1" applyFill="1" applyBorder="1" applyAlignment="1">
      <x:alignment wrapText="1"/>
    </x:xf>
    <x:xf numFmtId="0" fontId="9" fillId="7" borderId="4" xfId="0" applyNumberFormat="1" applyFont="1" applyFill="1" applyBorder="1" applyAlignment="1">
      <x:alignment wrapText="1"/>
    </x:xf>
    <x:xf numFmtId="0" fontId="9" fillId="7" borderId="5" xfId="0" applyNumberFormat="1" applyFont="1" applyFill="1" applyBorder="1" applyAlignment="1">
      <x:alignment wrapText="1"/>
    </x:xf>
    <x:xf numFmtId="0" fontId="9" fillId="7" borderId="3" xfId="0" applyNumberFormat="1" applyFont="1" applyFill="1" applyBorder="1" applyAlignment="1">
      <x:alignment vertical="center" wrapText="1"/>
    </x:xf>
    <x:xf numFmtId="0" fontId="9" fillId="7" borderId="4" xfId="0" applyNumberFormat="1" applyFont="1" applyFill="1" applyBorder="1" applyAlignment="1">
      <x:alignment vertical="center" wrapText="1"/>
    </x:xf>
    <x:xf numFmtId="0" fontId="9" fillId="7" borderId="5" xfId="0" applyNumberFormat="1" applyFont="1" applyFill="1" applyBorder="1" applyAlignment="1">
      <x:alignment vertical="center" wrapText="1"/>
    </x:xf>
  </x:cellXfs>
  <x:cellStyles count="1">
    <x:cellStyle name="Normal" xfId="0"/>
  </x:cellStyles>
  <x:dxfs count="8">
    <x:dxf>
      <x:font>
        <x:b/>
        <x:color rgb="FF166534"/>
      </x:font>
      <x:fill>
        <x:patternFill patternType="solid">
          <x:bgColor rgb="FFDCFCE7"/>
        </x:patternFill>
      </x:fill>
    </x:dxf>
    <x:dxf>
      <x:font>
        <x:b/>
        <x:color rgb="FF3F6212"/>
      </x:font>
      <x:fill>
        <x:patternFill patternType="solid">
          <x:bgColor rgb="FFECFCCB"/>
        </x:patternFill>
      </x:fill>
    </x:dxf>
    <x:dxf>
      <x:font>
        <x:b/>
        <x:color rgb="FF78350F"/>
      </x:font>
      <x:fill>
        <x:patternFill patternType="solid">
          <x:bgColor rgb="FFFEF3C7"/>
        </x:patternFill>
      </x:fill>
    </x:dxf>
    <x:dxf>
      <x:font>
        <x:b/>
        <x:color rgb="FFB91C1C"/>
      </x:font>
      <x:fill>
        <x:patternFill patternType="solid">
          <x:bgColor rgb="FFFEE2E2"/>
        </x:patternFill>
      </x:fill>
    </x:dxf>
    <x:dxf>
      <x:font>
        <x:b/>
        <x:color rgb="FF166534"/>
      </x:font>
      <x:fill>
        <x:patternFill patternType="solid">
          <x:bgColor rgb="FFDCFCE7"/>
        </x:patternFill>
      </x:fill>
    </x:dxf>
    <x:dxf>
      <x:font>
        <x:b/>
        <x:color rgb="FF3F6212"/>
      </x:font>
      <x:fill>
        <x:patternFill patternType="solid">
          <x:bgColor rgb="FFECFCCB"/>
        </x:patternFill>
      </x:fill>
    </x:dxf>
    <x:dxf>
      <x:font>
        <x:b/>
        <x:color rgb="FF78350F"/>
      </x:font>
      <x:fill>
        <x:patternFill patternType="solid">
          <x:bgColor rgb="FFFEF3C7"/>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ec66ed60594918" /><Relationship Type="http://schemas.openxmlformats.org/officeDocument/2006/relationships/theme" Target="/xl/theme/theme1.xml" Id="R3b15217e93934689" /><Relationship Type="http://schemas.openxmlformats.org/officeDocument/2006/relationships/sharedStrings" Target="/xl/sharedStrings.xml" Id="Re3885fde66e04206" /><Relationship Type="http://schemas.openxmlformats.org/officeDocument/2006/relationships/worksheet" Target="/xl/worksheets/sheet1.xml" Id="R4f518a748ae34044" /><Relationship Type="http://schemas.openxmlformats.org/officeDocument/2006/relationships/worksheet" Target="/xl/worksheets/sheet2.xml" Id="Ra3756704dd814974" /><Relationship Type="http://schemas.openxmlformats.org/officeDocument/2006/relationships/worksheet" Target="/xl/worksheets/sheet3.xml" Id="R708c888a781b4576" /><Relationship Type="http://schemas.openxmlformats.org/officeDocument/2006/relationships/worksheet" Target="/xl/worksheets/sheet4.xml" Id="Rd4bcafe2588440f8" /><Relationship Type="http://schemas.openxmlformats.org/officeDocument/2006/relationships/worksheet" Target="/xl/worksheets/sheet5.xml" Id="R6a8011b89093445d" /></Relationships>
</file>

<file path=xl/tables/table1.xml><?xml version="1.0" encoding="utf-8"?>
<x:table xmlns:x="http://schemas.openxmlformats.org/spreadsheetml/2006/main" id="1" name="ConfirmedSojuProducers" displayName="ConfirmedSojuProducers" ref="A4:T69" headerRowCount="1" totalsRowCount="0" totalsRowShown="0">
  <x:autoFilter ref="A4:T69"/>
  <x:tableColumns count="20">
    <x:tableColumn id="1" name="생산자 종류"/>
    <x:tableColumn id="2" name="한국어명"/>
    <x:tableColumn id="3" name="영어명"/>
    <x:tableColumn id="4" name="설립연도"/>
    <x:tableColumn id="5" name="웹사이트"/>
    <x:tableColumn id="6" name="검색 별칭"/>
    <x:tableColumn id="7" name="국가"/>
    <x:tableColumn id="8" name="지역"/>
    <x:tableColumn id="9" name="소개 (한국어)"/>
    <x:tableColumn id="10" name="소개 (영어)"/>
    <x:tableColumn id="11" name="대표 소주 제품"/>
    <x:tableColumn id="12" name="소주 유형"/>
    <x:tableColumn id="13" name="2026 활동 근거"/>
    <x:tableColumn id="14" name="출처 1 URL"/>
    <x:tableColumn id="15" name="출처 2 URL"/>
    <x:tableColumn id="16" name="출처 3 URL"/>
    <x:tableColumn id="17" name="교차검증 상태"/>
    <x:tableColumn id="18" name="설립연도 근거·주의"/>
    <x:tableColumn id="19" name="영문명 표기"/>
    <x:tableColumn id="20" name="등록 전 검토 메모"/>
  </x:tableColumns>
  <x:tableStyleInfo name="TableStyleMedium2" showFirstColumn="0" showLastColumn="0" showRowStripes="1" showColumnStripes="0"/>
</x:table>
</file>

<file path=xl/tables/table2.xml><?xml version="1.0" encoding="utf-8"?>
<x:table xmlns:x="http://schemas.openxmlformats.org/spreadsheetml/2006/main" id="2" name="CandidateSojuProducers" displayName="CandidateSojuProducers" ref="A4:T31" headerRowCount="1" totalsRowCount="0" totalsRowShown="0">
  <x:autoFilter ref="A4:T31"/>
  <x:tableColumns count="20">
    <x:tableColumn id="1" name="생산자 종류"/>
    <x:tableColumn id="2" name="한국어명"/>
    <x:tableColumn id="3" name="영어명"/>
    <x:tableColumn id="4" name="설립연도"/>
    <x:tableColumn id="5" name="웹사이트"/>
    <x:tableColumn id="6" name="검색 별칭"/>
    <x:tableColumn id="7" name="국가"/>
    <x:tableColumn id="8" name="지역"/>
    <x:tableColumn id="9" name="소개 (한국어)"/>
    <x:tableColumn id="10" name="소개 (영어)"/>
    <x:tableColumn id="11" name="대표 소주 제품"/>
    <x:tableColumn id="12" name="소주 유형"/>
    <x:tableColumn id="13" name="2026 활동 근거"/>
    <x:tableColumn id="14" name="출처 1 URL"/>
    <x:tableColumn id="15" name="출처 2 URL"/>
    <x:tableColumn id="16" name="출처 3 URL"/>
    <x:tableColumn id="17" name="교차검증 상태"/>
    <x:tableColumn id="18" name="설립연도 근거·주의"/>
    <x:tableColumn id="19" name="영문명 표기"/>
    <x:tableColumn id="20" name="등록 전 검토 메모"/>
  </x:tableColumns>
  <x:tableStyleInfo name="TableStyleMedium2" showFirstColumn="0" showLastColumn="0" showRowStripes="1" showColumnStripes="0"/>
</x:table>
</file>

<file path=xl/tables/table3.xml><?xml version="1.0" encoding="utf-8"?>
<x:table xmlns:x="http://schemas.openxmlformats.org/spreadsheetml/2006/main" id="3" name="ExcludedAndMerged" displayName="ExcludedAndMerged" ref="A4:G30" headerRowCount="1" totalsRowCount="0" totalsRowShown="0">
  <x:tableColumns count="7">
    <x:tableColumn id="1" name="원표기"/>
    <x:tableColumn id="2" name="처리"/>
    <x:tableColumn id="3" name="통합/권장 생산자"/>
    <x:tableColumn id="4" name="대표 제품"/>
    <x:tableColumn id="5" name="이유"/>
    <x:tableColumn id="6" name="근거 URL"/>
    <x:tableColumn id="7" name="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43f453a8364f5d" /></Relationships>
</file>

<file path=xl/worksheets/_rels/sheet3.xml.rels>&#65279;<?xml version="1.0" encoding="utf-8"?><Relationships xmlns="http://schemas.openxmlformats.org/package/2006/relationships"><Relationship Type="http://schemas.openxmlformats.org/officeDocument/2006/relationships/table" Target="/xl/tables/table2.xml" Id="R22cc11fd76504101" /></Relationships>
</file>

<file path=xl/worksheets/_rels/sheet4.xml.rels>&#65279;<?xml version="1.0" encoding="utf-8"?><Relationships xmlns="http://schemas.openxmlformats.org/package/2006/relationships"><Relationship Type="http://schemas.openxmlformats.org/officeDocument/2006/relationships/table" Target="/xl/tables/table3.xml" Id="R8f3c538e64ec4274"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4" hidden="0" customWidth="1"/>
    <x:col min="4" max="4" width="8" hidden="0" customWidth="1"/>
    <x:col min="5" max="5" width="34" hidden="0" customWidth="1"/>
    <x:col min="6" max="6" width="18" hidden="0" customWidth="1"/>
    <x:col min="7" max="7" width="18" hidden="0" customWidth="1"/>
    <x:col min="8" max="8" width="18" hidden="0" customWidth="1"/>
  </x:cols>
  <x:sheetData>
    <x:row r="1" ht="32" customHeight="1">
      <x:c r="A1" s="3" t="str">
        <x:v>2026 대한민국 소주 제조사 조사 요약</x:v>
      </x:c>
      <x:c r="B1" s="3"/>
      <x:c r="C1" s="3"/>
      <x:c r="D1" s="3"/>
      <x:c r="E1" s="3"/>
      <x:c r="F1" s="3"/>
      <x:c r="G1" s="3"/>
      <x:c r="H1" s="3"/>
    </x:row>
    <x:row r="2" ht="38" customHeight="1">
      <x:c r="A2" s="7" t="str">
        <x:v>관리자 등록용 확정 목록과 검토 후보를 분리한 작업용 엑셀입니다.</x:v>
      </x:c>
      <x:c r="B2" s="7"/>
      <x:c r="C2" s="7"/>
      <x:c r="D2" s="7"/>
      <x:c r="E2" s="7"/>
      <x:c r="F2" s="7"/>
      <x:c r="G2" s="7"/>
      <x:c r="H2" s="7"/>
    </x:row>
    <x:row r="4">
      <x:c r="A4" s="26" t="str">
        <x:v>핵심 지표</x:v>
      </x:c>
      <x:c r="B4" s="26" t="str">
        <x:v>값</x:v>
      </x:c>
      <x:c r="D4" s="33" t="str">
        <x:v>사용 순서</x:v>
      </x:c>
      <x:c r="E4" s="33"/>
      <x:c r="F4" s="33"/>
      <x:c r="G4" s="33"/>
      <x:c r="H4" s="33"/>
    </x:row>
    <x:row r="5" ht="38" customHeight="1">
      <x:c r="A5" s="29" t="str">
        <x:v>등록용 확정 제조사</x:v>
      </x:c>
      <x:c r="B5" s="32" t="n">
        <x:f>COUNTA('등록용_확정'!B5:B300)</x:f>
        <x:v>65</x:v>
      </x:c>
      <x:c r="D5" s="41" t="str">
        <x:v>1</x:v>
      </x:c>
      <x:c r="E5" s="38" t="str">
        <x:v>등록용_확정에서 A:J를 관리자 폼에 복사</x:v>
      </x:c>
      <x:c r="F5" s="38" t="str"/>
      <x:c r="G5" s="38" t="str"/>
      <x:c r="H5" s="38" t="str"/>
    </x:row>
    <x:row r="6" ht="38" customHeight="1">
      <x:c r="A6" s="29" t="str">
        <x:v>검토 필요 후보</x:v>
      </x:c>
      <x:c r="B6" s="32" t="n">
        <x:f>COUNTA('검토필요_후보'!B5:B300)</x:f>
        <x:v>27</x:v>
      </x:c>
      <x:c r="D6" s="41" t="str">
        <x:v>2</x:v>
      </x:c>
      <x:c r="E6" s="38" t="str">
        <x:v>A등급부터 등록하고 B등급은 출처·공식 영문명을 한 번 더 확인</x:v>
      </x:c>
      <x:c r="F6" s="38" t="str"/>
      <x:c r="G6" s="38" t="str"/>
      <x:c r="H6" s="38" t="str"/>
    </x:row>
    <x:row r="7" ht="38" customHeight="1">
      <x:c r="A7" s="29" t="str">
        <x:v>제외·중복 처리</x:v>
      </x:c>
      <x:c r="B7" s="32" t="n">
        <x:f>COUNTA('제외_중복'!A5:A300)</x:f>
        <x:v>26</x:v>
      </x:c>
      <x:c r="D7" s="41" t="str">
        <x:v>3</x:v>
      </x:c>
      <x:c r="E7" s="38" t="str">
        <x:v>검토필요_후보는 제조사 문의 또는 현재 판매 페이지 확인 후 이동</x:v>
      </x:c>
      <x:c r="F7" s="38" t="str"/>
      <x:c r="G7" s="38" t="str"/>
      <x:c r="H7" s="38" t="str"/>
    </x:row>
    <x:row r="8" ht="38" customHeight="1">
      <x:c r="A8" s="29" t="str">
        <x:v>2026 공식/활동 A등급</x:v>
      </x:c>
      <x:c r="B8" s="32" t="n">
        <x:f>COUNTIF('등록용_확정'!Q5:Q300,"A | 2026 공식 확인")+COUNTIF('등록용_확정'!Q5:Q300,"A | 2026 활동 확인")</x:f>
        <x:v>11</x:v>
      </x:c>
      <x:c r="D8" s="41" t="str">
        <x:v>4</x:v>
      </x:c>
      <x:c r="E8" s="38" t="str">
        <x:v>제외_중복의 통합 대상은 생산자 1건만 생성</x:v>
      </x:c>
      <x:c r="F8" s="38" t="str"/>
      <x:c r="G8" s="38" t="str"/>
      <x:c r="H8" s="38" t="str"/>
    </x:row>
    <x:row r="9" ht="38" customHeight="1">
      <x:c r="A9" s="29" t="str">
        <x:v>2개 출처 일치 B등급</x:v>
      </x:c>
      <x:c r="B9" s="32" t="n">
        <x:f>COUNTIF('등록용_확정'!Q5:Q300,"B | 2개 출처 일치")</x:f>
        <x:v>54</x:v>
      </x:c>
      <x:c r="D9" s="41" t="str">
        <x:v>5</x:v>
      </x:c>
      <x:c r="E9" s="38" t="str">
        <x:v>모든 소주 생산자 종류는 OTHER, 제품 otherType은 SOJU</x:v>
      </x:c>
      <x:c r="F9" s="38" t="str"/>
      <x:c r="G9" s="38" t="str"/>
      <x:c r="H9" s="38" t="str"/>
    </x:row>
    <x:row r="10" ht="30" customHeight="1">
      <x:c r="A10" s="29" t="str">
        <x:v>설립연도 미확인(확정)</x:v>
      </x:c>
      <x:c r="B10" s="32" t="n">
        <x:f>COUNTBLANK('등록용_확정'!D5:D69)</x:f>
        <x:v>55</x:v>
      </x:c>
    </x:row>
    <x:row r="11" ht="30" customHeight="1">
      <x:c r="A11" s="29" t="str">
        <x:v>웹사이트 미확인(확정)</x:v>
      </x:c>
      <x:c r="B11" s="32" t="n">
        <x:f>COUNTBLANK('등록용_확정'!E5:E69)</x:f>
        <x:v>4</x:v>
      </x:c>
    </x:row>
    <x:row r="13" ht="54" customHeight="1">
      <x:c r="A13" s="50" t="str">
        <x:v>중요: 공개 자료만으로 현재 면허 보유 업체와 실시간 판매 상태를 100% 증명할 수는 없습니다. 이 파일은 공공·공식 근거를 교차 확인한 최대 포괄 목록이며, 미확인 건을 별도 시트로 분리했습니다.</x:v>
      </x:c>
      <x:c r="B13" s="51"/>
      <x:c r="C13" s="51"/>
      <x:c r="D13" s="51"/>
      <x:c r="E13" s="51"/>
      <x:c r="F13" s="51"/>
      <x:c r="G13" s="51"/>
      <x:c r="H13" s="52"/>
    </x:row>
  </x:sheetData>
  <x:mergeCells>
    <x:mergeCell ref="A1:H1"/>
    <x:mergeCell ref="A2:H2"/>
    <x:mergeCell ref="D4:H4"/>
    <x:mergeCell ref="E5:H5"/>
    <x:mergeCell ref="E6:H6"/>
    <x:mergeCell ref="E7:H7"/>
    <x:mergeCell ref="E8:H8"/>
    <x:mergeCell ref="E9:H9"/>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7" hidden="0" customWidth="1"/>
    <x:col min="3" max="3" width="33" hidden="0" customWidth="1"/>
    <x:col min="4" max="4" width="11" hidden="0" customWidth="1"/>
    <x:col min="5" max="5" width="34" hidden="0" customWidth="1"/>
    <x:col min="6" max="6" width="45" hidden="0" customWidth="1"/>
    <x:col min="7" max="7" width="12" hidden="0" customWidth="1"/>
    <x:col min="8" max="8" width="14" hidden="0" customWidth="1"/>
    <x:col min="9" max="9" width="58" hidden="0" customWidth="1"/>
    <x:col min="10" max="10" width="58" hidden="0" customWidth="1"/>
    <x:col min="11" max="11" width="38" hidden="0" customWidth="1"/>
    <x:col min="12" max="12" width="16" hidden="0" customWidth="1"/>
    <x:col min="13" max="13" width="38" hidden="0" customWidth="1"/>
    <x:col min="14" max="14" width="44" hidden="0" customWidth="1"/>
    <x:col min="15" max="15" width="44" hidden="0" customWidth="1"/>
    <x:col min="16" max="16" width="44" hidden="0" customWidth="1"/>
    <x:col min="17" max="17" width="22" hidden="0" customWidth="1"/>
    <x:col min="18" max="18" width="34" hidden="0" customWidth="1"/>
    <x:col min="19" max="19" width="28" hidden="0" customWidth="1"/>
    <x:col min="20" max="20" width="42" hidden="0" customWidth="1"/>
  </x:cols>
  <x:sheetData>
    <x:row r="1" ht="32" customHeight="1">
      <x:c r="A1" s="3" t="str">
        <x:v>대한민국 소주 제조사 — 등록용 확정</x:v>
      </x:c>
      <x:c r="B1" s="3"/>
      <x:c r="C1" s="3"/>
      <x:c r="D1" s="3"/>
      <x:c r="E1" s="3"/>
      <x:c r="F1" s="3"/>
      <x:c r="G1" s="3"/>
      <x:c r="H1" s="3"/>
      <x:c r="I1" s="3"/>
      <x:c r="J1" s="3"/>
      <x:c r="K1" s="3"/>
      <x:c r="L1" s="3"/>
      <x:c r="M1" s="3"/>
      <x:c r="N1" s="3"/>
      <x:c r="O1" s="3"/>
      <x:c r="P1" s="3"/>
      <x:c r="Q1" s="3"/>
      <x:c r="R1" s="3"/>
      <x:c r="S1" s="3"/>
      <x:c r="T1" s="3"/>
    </x:row>
    <x:row r="2" ht="38" customHeight="1">
      <x:c r="A2" s="7" t="str">
        <x:v>조사 기준일 2026-09-01 · 관리자 새 생산자 등록 필드 A:J · 확정 65개사</x:v>
      </x:c>
      <x:c r="B2" s="7"/>
      <x:c r="C2" s="7"/>
      <x:c r="D2" s="7"/>
      <x:c r="E2" s="7"/>
      <x:c r="F2" s="7"/>
      <x:c r="G2" s="7"/>
      <x:c r="H2" s="7"/>
      <x:c r="I2" s="7"/>
      <x:c r="J2" s="7"/>
      <x:c r="K2" s="7"/>
      <x:c r="L2" s="7"/>
      <x:c r="M2" s="7"/>
      <x:c r="N2" s="7"/>
      <x:c r="O2" s="7"/>
      <x:c r="P2" s="7"/>
      <x:c r="Q2" s="7"/>
      <x:c r="R2" s="7"/>
      <x:c r="S2" s="7"/>
      <x:c r="T2" s="7"/>
    </x:row>
    <x:row r="4" ht="36" customHeight="1">
      <x:c r="A4" s="13" t="str">
        <x:v>생산자 종류</x:v>
      </x:c>
      <x:c r="B4" s="13" t="str">
        <x:v>한국어명</x:v>
      </x:c>
      <x:c r="C4" s="13" t="str">
        <x:v>영어명</x:v>
      </x:c>
      <x:c r="D4" s="13" t="str">
        <x:v>설립연도</x:v>
      </x:c>
      <x:c r="E4" s="13" t="str">
        <x:v>웹사이트</x:v>
      </x:c>
      <x:c r="F4" s="13" t="str">
        <x:v>검색 별칭</x:v>
      </x:c>
      <x:c r="G4" s="13" t="str">
        <x:v>국가</x:v>
      </x:c>
      <x:c r="H4" s="13" t="str">
        <x:v>지역</x:v>
      </x:c>
      <x:c r="I4" s="13" t="str">
        <x:v>소개 (한국어)</x:v>
      </x:c>
      <x:c r="J4" s="13" t="str">
        <x:v>소개 (영어)</x:v>
      </x:c>
      <x:c r="K4" s="13" t="str">
        <x:v>대표 소주 제품</x:v>
      </x:c>
      <x:c r="L4" s="13" t="str">
        <x:v>소주 유형</x:v>
      </x:c>
      <x:c r="M4" s="13" t="str">
        <x:v>2026 활동 근거</x:v>
      </x:c>
      <x:c r="N4" s="13" t="str">
        <x:v>출처 1 URL</x:v>
      </x:c>
      <x:c r="O4" s="13" t="str">
        <x:v>출처 2 URL</x:v>
      </x:c>
      <x:c r="P4" s="13" t="str">
        <x:v>출처 3 URL</x:v>
      </x:c>
      <x:c r="Q4" s="13" t="str">
        <x:v>교차검증 상태</x:v>
      </x:c>
      <x:c r="R4" s="13" t="str">
        <x:v>설립연도 근거·주의</x:v>
      </x:c>
      <x:c r="S4" s="13" t="str">
        <x:v>영문명 표기</x:v>
      </x:c>
      <x:c r="T4" s="13" t="str">
        <x:v>등록 전 검토 메모</x:v>
      </x:c>
    </x:row>
    <x:row r="5" ht="78" customHeight="1">
      <x:c r="A5" s="17" t="str">
        <x:v>OTHER</x:v>
      </x:c>
      <x:c r="B5" s="17" t="str">
        <x:v>하이트진로㈜</x:v>
      </x:c>
      <x:c r="C5" s="17" t="str">
        <x:v>HiteJinro Co., Ltd.</x:v>
      </x:c>
      <x:c r="D5" s="17" t="n">
        <x:v>1924</x:v>
      </x:c>
      <x:c r="E5" s="17" t="str">
        <x:v>https://www.hitejinro.com/</x:v>
      </x:c>
      <x:c r="F5" s="17" t="str">
        <x:v>하이트진로, 진로, 참이슬, 일품진로, 하이트진로㈜, HiteJinro Co., Ltd.</x:v>
      </x:c>
      <x:c r="G5" s="17" t="str">
        <x:v>대한민국</x:v>
      </x:c>
      <x:c r="H5" s="17" t="str"/>
      <x:c r="I5" s="17" t="str">
        <x:v>하이트진로㈜(HiteJinro Co., Ltd.)는 1924년 진천양조상회에서 출발한 대한민국의 종합 주류 기업입니다. 참이슬과 진로를 중심으로 대중적인 희석식 소주를 전개하고, 일품진로를 통해 증류식 소주 제품군도 운영합니다. 소주와 맥주를 함께 다루는 폭넓은 포트폴리오와 전국 단위 생산·유통 기반이 특징입니다.</x:v>
      </x:c>
      <x:c r="J5" s="17" t="str">
        <x:v>HiteJinro Co., Ltd. is a Korean drinks company whose history begins with Jincheon Brewery in 1924. Its soju portfolio combines mainstream diluted brands such as Chamisul and Jinro with distilled expressions led by Ilpoom Jinro. A nationwide production and distribution base, together with a broad portfolio spanning both soju and beer, defines the company’s scale and identity.</x:v>
      </x:c>
      <x:c r="K5" s="17" t="str">
        <x:v>참이슬, 진로, 일품진로</x:v>
      </x:c>
      <x:c r="L5" s="17" t="str">
        <x:v>희석식·증류식</x:v>
      </x:c>
      <x:c r="M5" s="17" t="str">
        <x:v>2026.05.26 국세청 K-SUUL 참가 제품(참이슬·일품진로) 확인</x:v>
      </x:c>
      <x:c r="N5" s="17" t="str">
        <x:v>https://t.nts.go.kr/dongdaegu/na/ntt/selectNttInfo.do?mi=2201&amp;nttSn=1351814</x:v>
      </x:c>
      <x:c r="O5" s="17" t="str">
        <x:v>https://comp.wisereport.co.kr/ibk/company/c1010001.aspx?cmp_cd=000080</x:v>
      </x:c>
      <x:c r="P5" s="17" t="str">
        <x:v>https://i.nts.go.kr/llsc/na/ntt/selectNttList.do?bbsId=22830&amp;mi=1511</x:v>
      </x:c>
      <x:c r="Q5" s="17" t="str">
        <x:v>A | 2026 공식 확인</x:v>
      </x:c>
      <x:c r="R5" s="17" t="str">
        <x:v>1924년 진천양조상회 창립을 회사 연혁의 기점으로 사용</x:v>
      </x:c>
      <x:c r="S5" s="17" t="str">
        <x:v>공식 또는 널리 쓰이는 영문 표기</x:v>
      </x:c>
      <x:c r="T5" s="17" t="str">
        <x:v>복수 생산 거점으로 지역을 비워 둠</x:v>
      </x:c>
    </x:row>
    <x:row r="6" ht="78" customHeight="1">
      <x:c r="A6" s="17" t="str">
        <x:v>OTHER</x:v>
      </x:c>
      <x:c r="B6" s="17" t="str">
        <x:v>롯데칠성음료㈜</x:v>
      </x:c>
      <x:c r="C6" s="17" t="str">
        <x:v>LOTTE Chilsung Beverage Co., Ltd.</x:v>
      </x:c>
      <x:c r="D6" s="17" t="n">
        <x:v>1950</x:v>
      </x:c>
      <x:c r="E6" s="17" t="str">
        <x:v>https://company.lottechilsung.co.kr/</x:v>
      </x:c>
      <x:c r="F6" s="17" t="str">
        <x:v>롯데주류, 처음처럼, 새로, 대장부, 여울, 롯데칠성음료㈜, LOTTE Chilsung Beverage Co., Ltd.</x:v>
      </x:c>
      <x:c r="G6" s="17" t="str">
        <x:v>대한민국</x:v>
      </x:c>
      <x:c r="H6" s="17" t="str"/>
      <x:c r="I6" s="17" t="str">
        <x:v>롯데칠성음료㈜(LOTTE Chilsung Beverage Co., Ltd.)는 1950년 설립된 음료·주류 기업입니다. 처음처럼과 새로를 중심으로 희석식 소주를 전개하며, 대장부 등 증류식 소주 제품도 함께 다룹니다. 음료 사업에서 축적한 전국 유통망과 다양한 주류 카테고리를 결합한 종합 포트폴리오가 특징입니다.</x:v>
      </x:c>
      <x:c r="J6" s="17" t="str">
        <x:v>LOTTE Chilsung Beverage Co., Ltd. is a Korean beverage and alcoholic-drinks company founded in 1950. Its soju range is led by diluted brands such as Chum Churum and Saero, alongside distilled products including Daejangbu. The company is distinguished by a nationwide distribution network and a broad portfolio that combines soft drinks with several alcoholic-drinks categories.</x:v>
      </x:c>
      <x:c r="K6" s="17" t="str">
        <x:v>처음처럼, 새로, 대장부</x:v>
      </x:c>
      <x:c r="L6" s="17" t="str">
        <x:v>희석식·증류식</x:v>
      </x:c>
      <x:c r="M6" s="17" t="str">
        <x:v>2026.05.26 국세청 K-SUUL 참가 제품(새로) 및 공식 회사 자료 확인</x:v>
      </x:c>
      <x:c r="N6" s="17" t="str">
        <x:v>https://t.nts.go.kr/dongdaegu/na/ntt/selectNttInfo.do?mi=2201&amp;nttSn=1351814</x:v>
      </x:c>
      <x:c r="O6" s="17" t="str">
        <x:v>https://company.lottechilsung.co.kr/kor/company/lcceo/contentsid/830/index.do</x:v>
      </x:c>
      <x:c r="P6" s="17" t="str">
        <x:v>https://i.nts.go.kr/llsc/na/ntt/selectNttList.do?bbsId=22830&amp;mi=1511</x:v>
      </x:c>
      <x:c r="Q6" s="17" t="str">
        <x:v>A | 2026 공식 확인</x:v>
      </x:c>
      <x:c r="R6" s="17" t="str">
        <x:v>롯데칠성음료 창립연도. 주류사업은 2011년 롯데주류 합병 이후 통합</x:v>
      </x:c>
      <x:c r="S6" s="17" t="str">
        <x:v>공식 또는 널리 쓰이는 영문 표기</x:v>
      </x:c>
      <x:c r="T6" s="17" t="str">
        <x:v>복수 생산 거점으로 지역을 비워 둠</x:v>
      </x:c>
    </x:row>
    <x:row r="7" ht="78" customHeight="1">
      <x:c r="A7" s="17" t="str">
        <x:v>OTHER</x:v>
      </x:c>
      <x:c r="B7" s="17" t="str">
        <x:v>㈜무학</x:v>
      </x:c>
      <x:c r="C7" s="17" t="str">
        <x:v>Muhak Co., Ltd.</x:v>
      </x:c>
      <x:c r="D7" s="17" t="n">
        <x:v>1929</x:v>
      </x:c>
      <x:c r="E7" s="17" t="str">
        <x:v>https://www.muhak.co.kr/</x:v>
      </x:c>
      <x:c r="F7" s="17" t="str">
        <x:v>무학, 좋은데이, 화이트, ㈜무학, Muhak Co., Ltd.</x:v>
      </x:c>
      <x:c r="G7" s="17" t="str">
        <x:v>대한민국</x:v>
      </x:c>
      <x:c r="H7" s="17" t="str">
        <x:v>경상남도</x:v>
      </x:c>
      <x:c r="I7" s="17" t="str">
        <x:v>㈜무학(Muhak Co., Ltd.)은 1929년부터 이어진 경상남도 기반의 주류 기업입니다. 좋은데이와 화이트를 중심으로 희석식 소주를 생산하며, 부산·울산·경남을 비롯한 영남권에서 오랫동안 지역 브랜드 정체성을 쌓아 왔습니다. 부드러운 음용성을 지향하는 저도 소주 제품군을 지속적으로 발전시킨 점이 특징입니다.</x:v>
      </x:c>
      <x:c r="J7" s="17" t="str">
        <x:v>Muhak Co., Ltd. is a Gyeongsangnam-do-based drinks company with a history dating to 1929. It produces diluted soju led by Good Day and White and has built a long-standing regional identity across southeastern Korea. Its portfolio is particularly associated with lower-strength soju designed for a softer drinking style.</x:v>
      </x:c>
      <x:c r="K7" s="17" t="str">
        <x:v>좋은데이, 화이트</x:v>
      </x:c>
      <x:c r="L7" s="17" t="str">
        <x:v>희석식</x:v>
      </x:c>
      <x:c r="M7" s="17" t="str">
        <x:v>2026.03.09 공식 좋은데이 리뉴얼 출시 자료와 2026 국세청 참가 명단 확인</x:v>
      </x:c>
      <x:c r="N7" s="17" t="str">
        <x:v>https://www.muhak.co.kr/news/%EB%AC%B4%ED%95%99-%EB%B6%80%EB%93%9C%EB%9F%AC%EC%9A%B4-%EC%86%8C%EC%A3%BC%EC%9D%98-%EC%9B%90%EC%A1%B0-all-new-%EC%A2%8B%EC%9D%80%EB%8D%B0%EC%9D%B4-%EC%83%88%EB%A1%AD%EA%B2%8C/</x:v>
      </x:c>
      <x:c r="O7" s="17" t="str">
        <x:v>https://t.nts.go.kr/dongdaegu/na/ntt/selectNttInfo.do?mi=2201&amp;nttSn=1351814</x:v>
      </x:c>
      <x:c r="P7" s="17" t="str">
        <x:v>https://i.nts.go.kr/llsc/na/ntt/selectNttList.do?bbsId=22830&amp;mi=1511</x:v>
      </x:c>
      <x:c r="Q7" s="17" t="str">
        <x:v>A | 2026 공식 확인</x:v>
      </x:c>
      <x:c r="R7" s="17" t="str">
        <x:v>공식 제품·회사 자료의 SINCE 1929 기준</x:v>
      </x:c>
      <x:c r="S7" s="17" t="str">
        <x:v>공식 또는 널리 쓰이는 영문 표기</x:v>
      </x:c>
      <x:c r="T7" s="17" t="str">
        <x:v>지역은 대표 제조 기반 기준</x:v>
      </x:c>
    </x:row>
    <x:row r="8" ht="78" customHeight="1">
      <x:c r="A8" s="17" t="str">
        <x:v>OTHER</x:v>
      </x:c>
      <x:c r="B8" s="17" t="str">
        <x:v>대선주조㈜</x:v>
      </x:c>
      <x:c r="C8" s="17" t="str">
        <x:v>Daesun Distilling Co., Ltd.</x:v>
      </x:c>
      <x:c r="D8" s="17" t="n">
        <x:v>1930</x:v>
      </x:c>
      <x:c r="E8" s="17" t="str">
        <x:v>https://www.c1.co.kr/</x:v>
      </x:c>
      <x:c r="F8" s="17" t="str">
        <x:v>대선주조, 대선159, 대선소주, C1, 시원소주, 대선주조㈜, Daesun Distilling Co., Ltd., 대선, 대선 샤인머스캣</x:v>
      </x:c>
      <x:c r="G8" s="17" t="str">
        <x:v>대한민국</x:v>
      </x:c>
      <x:c r="H8" s="17" t="str">
        <x:v>부산</x:v>
      </x:c>
      <x:c r="I8" s="17" t="str">
        <x:v>대선주조㈜(Daesun Distilling Co., Ltd.)은 1930년 설립된 부산 기반의 소주 제조사입니다. 대선과 C1을 중심으로 희석식 소주를 생산하고, 부산 지역의 식문화와 유통망에 밀착한 브랜드 운영을 이어 왔습니다. 지역 대표 소주와 계절·향미형 파생 제품을 함께 전개하는 구성이 특징입니다.</x:v>
      </x:c>
      <x:c r="J8" s="17" t="str">
        <x:v>Daesun Distilling Co., Ltd. is a Busan-based soju producer founded in 1930. Its diluted-soju portfolio is led by Daesun and C1, supported by a brand and distribution presence closely tied to Busan’s local drinking culture. The range combines its core regional labels with seasonal and flavour-led extensions.</x:v>
      </x:c>
      <x:c r="K8" s="17" t="str">
        <x:v>대선, C1, 대선 샤인머스캣</x:v>
      </x:c>
      <x:c r="L8" s="17" t="str">
        <x:v>희석식</x:v>
      </x:c>
      <x:c r="M8" s="17" t="str">
        <x:v>2026.05.26 국세청 K-SUUL 참가 제품(대선) 확인</x:v>
      </x:c>
      <x:c r="N8" s="17" t="str">
        <x:v>https://t.nts.go.kr/dongdaegu/na/ntt/selectNttInfo.do?mi=2201&amp;nttSn=1351814</x:v>
      </x:c>
      <x:c r="O8" s="17" t="str">
        <x:v>https://www.c1.co.kr/sub01/sub03_01_04.php</x:v>
      </x:c>
      <x:c r="P8" s="17" t="str">
        <x:v>https://i.nts.go.kr/llsc/na/ntt/selectNttList.do?bbsId=22830&amp;mi=1511</x:v>
      </x:c>
      <x:c r="Q8" s="17" t="str">
        <x:v>A | 2026 공식 확인</x:v>
      </x:c>
      <x:c r="R8" s="17" t="str">
        <x:v>공식 연혁의 1930년 대선양조주식회사 설립 기준</x:v>
      </x:c>
      <x:c r="S8" s="17" t="str">
        <x:v>공식 또는 널리 쓰이는 영문 표기</x:v>
      </x:c>
      <x:c r="T8" s="17" t="str">
        <x:v>지역은 대표 제조 기반 기준</x:v>
      </x:c>
    </x:row>
    <x:row r="9" ht="78" customHeight="1">
      <x:c r="A9" s="17" t="str">
        <x:v>OTHER</x:v>
      </x:c>
      <x:c r="B9" s="17" t="str">
        <x:v>보해양조㈜</x:v>
      </x:c>
      <x:c r="C9" s="17" t="str">
        <x:v>Bohae Brewery Co., Ltd.</x:v>
      </x:c>
      <x:c r="D9" s="17" t="n">
        <x:v>1950</x:v>
      </x:c>
      <x:c r="E9" s="17" t="str">
        <x:v>https://www.bohae.co.kr/</x:v>
      </x:c>
      <x:c r="F9" s="17" t="str">
        <x:v>보해양조, 잎새주, 보해골드, 보해양조㈜, Bohae Brewery Co., Ltd.</x:v>
      </x:c>
      <x:c r="G9" s="17" t="str">
        <x:v>대한민국</x:v>
      </x:c>
      <x:c r="H9" s="17" t="str">
        <x:v>전라남도</x:v>
      </x:c>
      <x:c r="I9" s="17" t="str">
        <x:v>보해양조㈜(Bohae Brewery Co., Ltd.)은 1950년 설립된 전라남도 기반의 주류 기업입니다. 잎새주와 보해골드를 중심으로 희석식 소주를 생산하며, 광주·전남을 중심으로 형성된 지역 브랜드 기반을 갖고 있습니다. 소주뿐 아니라 과실주와 전통주까지 폭넓게 다루는 종합 양조 역량이 특징입니다.</x:v>
      </x:c>
      <x:c r="J9" s="17" t="str">
        <x:v>Bohae Brewery Co., Ltd. is a Jeollanam-do-based drinks producer founded in 1950. Its diluted-soju range is led by Ipseju and Bohae Gold, supported by a strong regional base in Gwangju and Jeollanam-do. The company’s production capability extends beyond soju to fruit wines and traditional Korean alcoholic drinks.</x:v>
      </x:c>
      <x:c r="K9" s="17" t="str">
        <x:v>잎새주, 보해골드</x:v>
      </x:c>
      <x:c r="L9" s="17" t="str">
        <x:v>희석식</x:v>
      </x:c>
      <x:c r="M9" s="17" t="str">
        <x:v>2025년 잎새주 제품 운영 자료와 국세청 국내주류 제품 목록 교차 확인</x:v>
      </x:c>
      <x:c r="N9" s="17" t="str">
        <x:v>https://www.yna.co.kr/view/AKR20251015142000054</x:v>
      </x:c>
      <x:c r="O9" s="17" t="str">
        <x:v>https://i.nts.go.kr/llsc/na/ntt/selectNttList.do?bbsId=22830&amp;mi=1511</x:v>
      </x:c>
      <x:c r="P9" s="17" t="str">
        <x:v>https://i.nts.go.kr/llsc/na/ntt/selectNttList.do?bbsId=22830&amp;mi=1511</x:v>
      </x:c>
      <x:c r="Q9" s="17" t="str">
        <x:v>A | 2026 활동 확인</x:v>
      </x:c>
      <x:c r="R9" s="17" t="str">
        <x:v>회사 창립연도 1950년 기준</x:v>
      </x:c>
      <x:c r="S9" s="17" t="str">
        <x:v>공식 또는 널리 쓰이는 영문 표기</x:v>
      </x:c>
      <x:c r="T9" s="17" t="str">
        <x:v>지역은 대표 제조 기반 기준</x:v>
      </x:c>
    </x:row>
    <x:row r="10" ht="78" customHeight="1">
      <x:c r="A10" s="17" t="str">
        <x:v>OTHER</x:v>
      </x:c>
      <x:c r="B10" s="17" t="str">
        <x:v>㈜금복주</x:v>
      </x:c>
      <x:c r="C10" s="17" t="str">
        <x:v>Kumbokju Co., Ltd.</x:v>
      </x:c>
      <x:c r="D10" s="17" t="n">
        <x:v>1957</x:v>
      </x:c>
      <x:c r="E10" s="17" t="str">
        <x:v>https://www.kumbokju.co.kr/</x:v>
      </x:c>
      <x:c r="F10" s="17" t="str">
        <x:v>금복주, 참소주, 맛있는참, 제로투, 제왕, ㈜금복주, Kumbokju Co., Ltd., 제왕 안동소주</x:v>
      </x:c>
      <x:c r="G10" s="17" t="str">
        <x:v>대한민국</x:v>
      </x:c>
      <x:c r="H10" s="17" t="str">
        <x:v>대구</x:v>
      </x:c>
      <x:c r="I10" s="17" t="str">
        <x:v>㈜금복주(Kumbokju Co., Ltd.)는 1957년 설립된 대구 기반의 주류 기업입니다. 참소주와 제로투 같은 희석식 소주를 중심으로 대구·경북 지역의 대표 브랜드를 운영하며, 제왕 안동소주를 통해 증류식 소주도 함께 전개합니다. 지역 대중주와 전통 증류주를 한 포트폴리오에서 다루는 점이 특징입니다.</x:v>
      </x:c>
      <x:c r="J10" s="17" t="str">
        <x:v>Kumbokju Co., Ltd. is a Daegu-based drinks company founded in 1957. It operates major diluted-soju brands in Daegu and Gyeongsangbuk-do, including Cham Soju and Zero2, while also producing distilled soju through the Jewang Andong Soju range. Its portfolio links a strong regional mainstream business with traditional distilled expressions.</x:v>
      </x:c>
      <x:c r="K10" s="17" t="str">
        <x:v>참소주, 제로투, 제왕 안동소주</x:v>
      </x:c>
      <x:c r="L10" s="17" t="str">
        <x:v>희석식·증류식</x:v>
      </x:c>
      <x:c r="M10" s="17" t="str">
        <x:v>2026.08 참소주 리뉴얼 판매 보도와 공식 회사 사이트 확인</x:v>
      </x:c>
      <x:c r="N10" s="17" t="str">
        <x:v>https://v.daum.net/v/20260803194321507</x:v>
      </x:c>
      <x:c r="O10" s="17" t="str">
        <x:v>https://i.nts.go.kr/llsc/na/ntt/selectNttList.do?bbsId=22830&amp;mi=1511</x:v>
      </x:c>
      <x:c r="P10" s="17" t="str">
        <x:v>https://i.nts.go.kr/llsc/na/ntt/selectNttList.do?bbsId=22830&amp;mi=1511</x:v>
      </x:c>
      <x:c r="Q10" s="17" t="str">
        <x:v>A | 2026 활동 확인</x:v>
      </x:c>
      <x:c r="R10" s="17" t="str">
        <x:v>금복주 창립연도 1957년 기준</x:v>
      </x:c>
      <x:c r="S10" s="17" t="str">
        <x:v>공식 또는 널리 쓰이는 영문 표기</x:v>
      </x:c>
      <x:c r="T10" s="17" t="str">
        <x:v>지역은 대표 제조 기반 기준</x:v>
      </x:c>
    </x:row>
    <x:row r="11" ht="78" customHeight="1">
      <x:c r="A11" s="17" t="str">
        <x:v>OTHER</x:v>
      </x:c>
      <x:c r="B11" s="17" t="str">
        <x:v>㈜선양소주</x:v>
      </x:c>
      <x:c r="C11" s="17" t="str">
        <x:v>Sunyang Soju Co., Ltd.</x:v>
      </x:c>
      <x:c r="D11" s="17" t="n">
        <x:v>1973</x:v>
      </x:c>
      <x:c r="E11" s="17" t="str">
        <x:v>https://www.mackisscompany.co.kr/</x:v>
      </x:c>
      <x:c r="F11" s="17" t="str">
        <x:v>맥키스컴퍼니, 선양소주, 선양, 선양린, O2린, 사락, ㈜선양소주, Sunyang Soju Co., Ltd., 사락 GOLD</x:v>
      </x:c>
      <x:c r="G11" s="17" t="str">
        <x:v>대한민국</x:v>
      </x:c>
      <x:c r="H11" s="17" t="str">
        <x:v>대전</x:v>
      </x:c>
      <x:c r="I11" s="17" t="str">
        <x:v>㈜선양소주(Sunyang Soju Co., Ltd.)는 1973년 선양주조에서 출발한 대전·충청권 기반의 소주 제조사입니다. 선양과 선양린을 중심으로 희석식 소주를 생산하고, 사락 GOLD 같은 증류식 소주도 함께 선보입니다. 지역 밀착형 대중 소주와 프리미엄 증류 제품을 병행하는 구성이 특징입니다.</x:v>
      </x:c>
      <x:c r="J11" s="17" t="str">
        <x:v>Sunyang Soju Co., Ltd. traces its history to Sunyang Brewery, established in 1973, and is rooted in Daejeon and the Chungcheong region. Its range combines diluted soju led by Sunyang and Sunyang Linn with distilled expressions such as S-arak GOLD. The company’s identity joins a locally focused mainstream business with a smaller premium distilled portfolio.</x:v>
      </x:c>
      <x:c r="K11" s="17" t="str">
        <x:v>선양, 선양린, 사락 GOLD</x:v>
      </x:c>
      <x:c r="L11" s="17" t="str">
        <x:v>희석식·증류식</x:v>
      </x:c>
      <x:c r="M11" s="17" t="str">
        <x:v>2026.05.26 국세청 K-SUUL 참가 제품(사락 GOLD) 확인</x:v>
      </x:c>
      <x:c r="N11" s="17" t="str">
        <x:v>https://t.nts.go.kr/dongdaegu/na/ntt/selectNttInfo.do?mi=2201&amp;nttSn=1351814</x:v>
      </x:c>
      <x:c r="O11" s="17" t="str">
        <x:v>https://i.nts.go.kr/llsc/na/ntt/selectNttList.do?bbsId=22830&amp;mi=1511</x:v>
      </x:c>
      <x:c r="P11" s="17" t="str">
        <x:v>https://i.nts.go.kr/llsc/na/ntt/selectNttList.do?bbsId=22830&amp;mi=1511</x:v>
      </x:c>
      <x:c r="Q11" s="17" t="str">
        <x:v>A | 2026 공식 확인</x:v>
      </x:c>
      <x:c r="R11" s="17" t="str">
        <x:v>1973년 선양주조 설립을 계승 연혁의 기점으로 사용</x:v>
      </x:c>
      <x:c r="S11" s="17" t="str">
        <x:v>공식 또는 널리 쓰이는 영문 표기</x:v>
      </x:c>
      <x:c r="T11" s="17" t="str">
        <x:v>지역은 대표 제조 기반 기준</x:v>
      </x:c>
    </x:row>
    <x:row r="12" ht="78" customHeight="1">
      <x:c r="A12" s="17" t="str">
        <x:v>OTHER</x:v>
      </x:c>
      <x:c r="B12" s="17" t="str">
        <x:v>㈜충북소주</x:v>
      </x:c>
      <x:c r="C12" s="17" t="str">
        <x:v>Chungbuk Soju Co., Ltd.</x:v>
      </x:c>
      <x:c r="D12" s="17" t="n">
        <x:v>1957</x:v>
      </x:c>
      <x:c r="E12" s="17" t="str">
        <x:v>http://www.cbsoju.com/</x:v>
      </x:c>
      <x:c r="F12" s="17" t="str">
        <x:v>충북소주, 시원한청풍, 시원한 청풍, 맑은바람, ㈜충북소주, Chungbuk Soju Co., Ltd.</x:v>
      </x:c>
      <x:c r="G12" s="17" t="str">
        <x:v>대한민국</x:v>
      </x:c>
      <x:c r="H12" s="17" t="str">
        <x:v>충청북도</x:v>
      </x:c>
      <x:c r="I12" s="17" t="str">
        <x:v>㈜충북소주(Chungbuk Soju Co., Ltd.)는 충청북도를 기반으로 시원한 청풍과 맑은바람을 생산하는 희석식 소주 제조사입니다. 1957년부터 이어진 지역 소주의 계보를 바탕으로 충북 지역의 유통과 소비 문화에 밀착한 제품을 운영해 왔습니다. 지역명과 청정 이미지를 전면에 둔 브랜드 정체성이 특징입니다.</x:v>
      </x:c>
      <x:c r="J12" s="17" t="str">
        <x:v>Chungbuk Soju Co., Ltd. is a diluted-soju producer based in Chungcheongbuk-do, with Cool Cheongpung and Malgeun Baram as its core brands. Drawing on a regional soju lineage that dates to 1957, it has developed products closely tied to local distribution and drinking culture. Its brand identity places strong emphasis on Chungcheongbuk-do and a clean, fresh image.</x:v>
      </x:c>
      <x:c r="K12" s="17" t="str">
        <x:v>시원한 청풍, 맑은바람</x:v>
      </x:c>
      <x:c r="L12" s="17" t="str">
        <x:v>희석식</x:v>
      </x:c>
      <x:c r="M12" s="17" t="str">
        <x:v>2026년 기업 활동 자료와 국세청 제품 목록 확인. 공식 사이트는 조사 시점 접속 불가</x:v>
      </x:c>
      <x:c r="N12" s="17" t="str">
        <x:v>https://www.saramin.co.kr/zf_user/company-info/view?csn=bHFpZExRYnJGNTJxRGVCa2pOQzNqQT09</x:v>
      </x:c>
      <x:c r="O12" s="17" t="str">
        <x:v>https://i.nts.go.kr/llsc/na/ntt/selectNttList.do?bbsId=22830&amp;mi=1511</x:v>
      </x:c>
      <x:c r="P12" s="17" t="str">
        <x:v>https://i.nts.go.kr/llsc/na/ntt/selectNttList.do?bbsId=22830&amp;mi=1511</x:v>
      </x:c>
      <x:c r="Q12" s="17" t="str">
        <x:v>A | 2026 활동 확인</x:v>
      </x:c>
      <x:c r="R12" s="17" t="str">
        <x:v>1957년 창업 계승 연혁. 현 법인 설립일(2004년)과 구분 필요</x:v>
      </x:c>
      <x:c r="S12" s="17" t="str">
        <x:v>공식 또는 널리 쓰이는 영문 표기</x:v>
      </x:c>
      <x:c r="T12" s="17" t="str">
        <x:v>공식 홈페이지가 조사 시점에 접속되지 않음. 홈페이지 URL은 기존 공개 주소를 기입</x:v>
      </x:c>
    </x:row>
    <x:row r="13" ht="78" customHeight="1">
      <x:c r="A13" s="17" t="str">
        <x:v>OTHER</x:v>
      </x:c>
      <x:c r="B13" s="17" t="str">
        <x:v>㈜한라산</x:v>
      </x:c>
      <x:c r="C13" s="17" t="str">
        <x:v>Hallasan Co., Ltd.</x:v>
      </x:c>
      <x:c r="D13" s="17" t="n">
        <x:v>1950</x:v>
      </x:c>
      <x:c r="E13" s="17" t="str">
        <x:v>https://www.hallasan.co.kr/</x:v>
      </x:c>
      <x:c r="F13" s="17" t="str">
        <x:v>한라산소주, 한라산21, 한라산17, 한라산순한, ㈜한라산, Hallasan Co., Ltd., 한라산, 한라산 순한</x:v>
      </x:c>
      <x:c r="G13" s="17" t="str">
        <x:v>대한민국</x:v>
      </x:c>
      <x:c r="H13" s="17" t="str">
        <x:v>제주도</x:v>
      </x:c>
      <x:c r="I13" s="17" t="str">
        <x:v>㈜한라산(Hallasan Co., Ltd.)은 1950년 호남양조장에서 출발한 제주도의 소주 제조사입니다. 한라산과 한라산 순한을 중심으로 희석식 소주를 생산하며, 제주 화산암반수와 제주 현지 생산을 브랜드 정체성의 핵심으로 삼고 있습니다. 섬 지역의 독립적인 생산 기반과 지역 대표성이 특징입니다.</x:v>
      </x:c>
      <x:c r="J13" s="17" t="str">
        <x:v>Hallasan Co., Ltd. is a Jeju-do soju producer whose history begins with Honam Brewery in 1950. Its diluted-soju portfolio is led by Hallasan and Hallasan Mild, with Jeju volcanic bedrock water and local production forming central parts of the brand identity. An independent island production base and strong regional representation distinguish the company.</x:v>
      </x:c>
      <x:c r="K13" s="17" t="str">
        <x:v>한라산, 한라산 순한</x:v>
      </x:c>
      <x:c r="L13" s="17" t="str">
        <x:v>희석식</x:v>
      </x:c>
      <x:c r="M13" s="17" t="str">
        <x:v>2026.05.26 국세청 K-SUUL 참가 제품(한라산) 확인</x:v>
      </x:c>
      <x:c r="N13" s="17" t="str">
        <x:v>https://t.nts.go.kr/dongdaegu/na/ntt/selectNttInfo.do?mi=2201&amp;nttSn=1351814</x:v>
      </x:c>
      <x:c r="O13" s="17" t="str">
        <x:v>https://encykorea.aks.ac.kr/Article/E0079972</x:v>
      </x:c>
      <x:c r="P13" s="17" t="str">
        <x:v>https://i.nts.go.kr/llsc/na/ntt/selectNttList.do?bbsId=22830&amp;mi=1511</x:v>
      </x:c>
      <x:c r="Q13" s="17" t="str">
        <x:v>A | 2026 공식 확인</x:v>
      </x:c>
      <x:c r="R13" s="17" t="str">
        <x:v>1950년 호남양조장 창립을 계승 연혁의 기점으로 사용</x:v>
      </x:c>
      <x:c r="S13" s="17" t="str">
        <x:v>공식 또는 널리 쓰이는 영문 표기</x:v>
      </x:c>
      <x:c r="T13" s="17" t="str">
        <x:v>지역은 대표 제조 기반 기준</x:v>
      </x:c>
    </x:row>
    <x:row r="14" ht="78" customHeight="1">
      <x:c r="A14" s="17" t="str">
        <x:v>OTHER</x:v>
      </x:c>
      <x:c r="B14" s="17" t="str">
        <x:v>㈜배혜정농업회사법인</x:v>
      </x:c>
      <x:c r="C14" s="17" t="str">
        <x:v>Bae Hye Jeong Agricultural Corporation</x:v>
      </x:c>
      <x:c r="D14" s="17"/>
      <x:c r="E14" s="17" t="str">
        <x:v>http://www.baedoga.co.kr/</x:v>
      </x:c>
      <x:c r="F14" s="17" t="str">
        <x:v>배혜정도가, (주)배혜정농업회사법인, ㈜배혜정농업회사법인, Bae Hye Jeong Agricultural Corporation, 로아 포르토, 우곡소주, 로아19화이트, 로아19옐로우, 로아19레드, 로아40화이트, 로아40퍼플</x:v>
      </x:c>
      <x:c r="G14" s="17" t="str">
        <x:v>대한민국</x:v>
      </x:c>
      <x:c r="H14" s="17" t="str">
        <x:v>경기도</x:v>
      </x:c>
      <x:c r="I14" s="17" t="str">
        <x:v>㈜배혜정농업회사법인(Bae Hye Jeong Agricultural Corporation)은 대한민국 경기도에 기반을 둔 증류식 소주 제조사입니다. 대표 제품군에는 로아 포르토·우곡소주·로아19화이트·로아19옐로우·로아19레드·로아40화이트·로아40퍼플 등이 포함됩니다. 제품 원료에는 쌀 등이 쓰이며, 원료 선택과 발효·증류 방식의 차이를 살려 제품별 개성을 구성하는 데 초점을 둡니다.</x:v>
      </x:c>
      <x:c r="J14" s="17" t="str">
        <x:v>㈜배혜정농업회사법인 (Bae Hye Jeong Agricultural Corporation) is a distilled soju producer based in Gyeonggi-do, South Korea. Its core range includes 로아 포르토, 우곡소주, 로아19화이트, 로아19옐로우, 로아19레드, 로아40화이트, 로아40퍼플. The range uses ingredients such as rice. Its portfolio emphasizes ingredient choice and differences in fermentation and distillation to give each expression a distinct identity.</x:v>
      </x:c>
      <x:c r="K14" s="17" t="str">
        <x:v>로아 포르토, 우곡소주, 로아19화이트, 로아19옐로우, 로아19레드, 로아40화이트, 로아40퍼플</x:v>
      </x:c>
      <x:c r="L14" s="17" t="str">
        <x:v>증류식</x:v>
      </x:c>
      <x:c r="M14" s="17" t="str">
        <x:v>2026 조사 시점 공공 카탈로그 등재와 제조사·판매 페이지를 대조</x:v>
      </x:c>
      <x:c r="N14" s="17" t="str">
        <x:v>https://thesool.com/front/find/M000000082/view.do?productId=PR00001221</x:v>
      </x:c>
      <x:c r="O14" s="17" t="str">
        <x:v>http://www.baedoga.co.kr/</x:v>
      </x:c>
      <x:c r="P14" s="17" t="str"/>
      <x:c r="Q14" s="17" t="str">
        <x:v>B | 2개 출처 일치</x:v>
      </x:c>
      <x:c r="R14" s="17" t="str">
        <x:v>공식 설립연도 미확인</x:v>
      </x:c>
      <x:c r="S14" s="17" t="str">
        <x:v>공식 또는 널리 쓰이는 영문 표기</x:v>
      </x:c>
      <x:c r="T14" s="17" t="str">
        <x:v>등록 가능. 설립연도·공식 영문명은 공개 근거가 없으면 빈칸/권장 표기로 유지</x:v>
      </x:c>
    </x:row>
    <x:row r="15" ht="78" customHeight="1">
      <x:c r="A15" s="17" t="str">
        <x:v>OTHER</x:v>
      </x:c>
      <x:c r="B15" s="17" t="str">
        <x:v>㈜백제명가주조</x:v>
      </x:c>
      <x:c r="C15" s="17" t="str">
        <x:v>Baekjemyeonggajujo Brewery</x:v>
      </x:c>
      <x:c r="D15" s="17"/>
      <x:c r="E15" s="17" t="str">
        <x:v>https://smartstore.naver.com/baekje2012</x:v>
      </x:c>
      <x:c r="F15" s="17" t="str">
        <x:v>㈜백제명가주조, Baekjemyeonggajujo Brewery, 백제한산군주</x:v>
      </x:c>
      <x:c r="G15" s="17" t="str">
        <x:v>대한민국</x:v>
      </x:c>
      <x:c r="H15" s="17" t="str">
        <x:v>충청남도</x:v>
      </x:c>
      <x:c r="I15" s="17" t="str">
        <x:v>㈜백제명가주조(Baekjemyeonggajujo Brewery)은 대한민국 충청남도에 기반을 둔 증류식 소주 제조사입니다. 대표 제품군에는 백제한산군주 등이 포함됩니다. 제품 원료에는 쌀 등이 쓰이며, 원료 선택과 발효·증류 방식의 차이를 살려 제품별 개성을 구성하는 데 초점을 둡니다.</x:v>
      </x:c>
      <x:c r="J15" s="17" t="str">
        <x:v>㈜백제명가주조 (Baekjemyeonggajujo Brewery) is a distilled soju producer based in Chungcheongnam-do, South Korea. Its core range includes 백제한산군주. The range uses ingredients such as rice. Its portfolio emphasizes ingredient choice and differences in fermentation and distillation to give each expression a distinct identity.</x:v>
      </x:c>
      <x:c r="K15" s="17" t="str">
        <x:v>백제한산군주</x:v>
      </x:c>
      <x:c r="L15" s="17" t="str">
        <x:v>증류식</x:v>
      </x:c>
      <x:c r="M15" s="17" t="str">
        <x:v>2026 조사 시점 공공 카탈로그 등재와 제조사·판매 페이지를 대조</x:v>
      </x:c>
      <x:c r="N15" s="17" t="str">
        <x:v>https://thesool.com/front/find/M000000082/view.do?productId=PR00000512</x:v>
      </x:c>
      <x:c r="O15" s="17" t="str">
        <x:v>https://smartstore.naver.com/baekje2012</x:v>
      </x:c>
      <x:c r="P15" s="17" t="str"/>
      <x:c r="Q15" s="17" t="str">
        <x:v>B | 2개 출처 일치</x:v>
      </x:c>
      <x:c r="R15" s="17" t="str">
        <x:v>공식 설립연도 미확인</x:v>
      </x:c>
      <x:c r="S15" s="17" t="str">
        <x:v>권장 로마자 표기 — 등록 전 공식 표기 확인</x:v>
      </x:c>
      <x:c r="T15" s="17" t="str">
        <x:v>등록 가능. 설립연도·공식 영문명은 공개 근거가 없으면 빈칸/권장 표기로 유지</x:v>
      </x:c>
    </x:row>
    <x:row r="16" ht="78" customHeight="1">
      <x:c r="A16" s="17" t="str">
        <x:v>OTHER</x:v>
      </x:c>
      <x:c r="B16" s="17" t="str">
        <x:v>㈜우보주책</x:v>
      </x:c>
      <x:c r="C16" s="17" t="str">
        <x:v>Ubojuchaek Brewery</x:v>
      </x:c>
      <x:c r="D16" s="17"/>
      <x:c r="E16" s="17" t="str">
        <x:v>https://woobojoocheck.com/</x:v>
      </x:c>
      <x:c r="F16" s="17" t="str">
        <x:v>㈜우보주책, Ubojuchaek Brewery, 양평 밀 소주</x:v>
      </x:c>
      <x:c r="G16" s="17" t="str">
        <x:v>대한민국</x:v>
      </x:c>
      <x:c r="H16" s="17" t="str">
        <x:v>경기도</x:v>
      </x:c>
      <x:c r="I16" s="17" t="str">
        <x:v>㈜우보주책(Ubojuchaek Brewery)은 대한민국 경기도에 기반을 둔 증류식 소주 제조사입니다. 대표 제품군에는 양평 밀 소주 등이 포함됩니다. 제품 원료에는 밀 등이 쓰이며, 원료 선택과 발효·증류 방식의 차이를 살려 제품별 개성을 구성하는 데 초점을 둡니다.</x:v>
      </x:c>
      <x:c r="J16" s="17" t="str">
        <x:v>㈜우보주책 (Ubojuchaek Brewery) is a distilled soju producer based in Gyeonggi-do, South Korea. Its core range includes 양평 밀 소주. The range uses ingredients such as wheat. Its portfolio emphasizes ingredient choice and differences in fermentation and distillation to give each expression a distinct identity.</x:v>
      </x:c>
      <x:c r="K16" s="17" t="str">
        <x:v>양평 밀 소주</x:v>
      </x:c>
      <x:c r="L16" s="17" t="str">
        <x:v>증류식</x:v>
      </x:c>
      <x:c r="M16" s="17" t="str">
        <x:v>2026 조사 시점 공공 카탈로그 등재와 제조사·판매 페이지를 대조</x:v>
      </x:c>
      <x:c r="N16" s="17" t="str">
        <x:v>https://thesool.com/front/find/M000000082/view.do?productId=PR00001320</x:v>
      </x:c>
      <x:c r="O16" s="17" t="str">
        <x:v>https://woobojoocheck.com/</x:v>
      </x:c>
      <x:c r="P16" s="17" t="str"/>
      <x:c r="Q16" s="17" t="str">
        <x:v>B | 2개 출처 일치</x:v>
      </x:c>
      <x:c r="R16" s="17" t="str">
        <x:v>공식 설립연도 미확인</x:v>
      </x:c>
      <x:c r="S16" s="17" t="str">
        <x:v>권장 로마자 표기 — 등록 전 공식 표기 확인</x:v>
      </x:c>
      <x:c r="T16" s="17" t="str">
        <x:v>등록 가능. 설립연도·공식 영문명은 공개 근거가 없으면 빈칸/권장 표기로 유지</x:v>
      </x:c>
    </x:row>
    <x:row r="17" ht="78" customHeight="1">
      <x:c r="A17" s="17" t="str">
        <x:v>OTHER</x:v>
      </x:c>
      <x:c r="B17" s="17" t="str">
        <x:v>㈜좋은술</x:v>
      </x:c>
      <x:c r="C17" s="17" t="str">
        <x:v>Joeunsul Co., Ltd.</x:v>
      </x:c>
      <x:c r="D17" s="17"/>
      <x:c r="E17" s="17" t="str">
        <x:v>http://jsul.modoo.at/</x:v>
      </x:c>
      <x:c r="F17" s="17" t="str">
        <x:v>좋은술, 천비향 화주, 천비향, ㈜좋은술, Joeunsul Co., Ltd.</x:v>
      </x:c>
      <x:c r="G17" s="17" t="str">
        <x:v>대한민국</x:v>
      </x:c>
      <x:c r="H17" s="17" t="str">
        <x:v>경기도</x:v>
      </x:c>
      <x:c r="I17" s="17" t="str">
        <x:v>㈜좋은술(Joeunsul Co., Ltd.)은 대한민국 경기도에 기반을 둔 증류식 소주 제조사입니다. 대표 제품군에는 천비향 화주 등이 포함됩니다. 원료 선택과 발효·증류 방식의 차이를 살려 제품별 개성을 구성하는 데 초점을 둡니다.</x:v>
      </x:c>
      <x:c r="J17" s="17" t="str">
        <x:v>㈜좋은술 (Joeunsul Co., Ltd.) is a distilled soju producer based in Gyeonggi-do, South Korea. Its core range includes 천비향 화주. Its portfolio emphasizes ingredient choice and differences in fermentation and distillation to give each expression a distinct identity.</x:v>
      </x:c>
      <x:c r="K17" s="17" t="str">
        <x:v>천비향 화주</x:v>
      </x:c>
      <x:c r="L17" s="17" t="str">
        <x:v>증류식</x:v>
      </x:c>
      <x:c r="M17" s="17" t="str">
        <x:v>더술닷컴 찾아가는 양조장 자료와 제조사 페이지를 교차 확인</x:v>
      </x:c>
      <x:c r="N17" s="17" t="str">
        <x:v>https://thesool.com/file/2022_GUIDEBOOK.pdf</x:v>
      </x:c>
      <x:c r="O17" s="17" t="str">
        <x:v>http://jsul.modoo.at/</x:v>
      </x:c>
      <x:c r="P17" s="17" t="str">
        <x:v>https://thesool.com/front/find/M000000086/list.do?kind=CD00000144</x:v>
      </x:c>
      <x:c r="Q17" s="17" t="str">
        <x:v>B | 2개 출처 일치</x:v>
      </x:c>
      <x:c r="R17" s="17" t="str">
        <x:v>공식 설립연도 미확인</x:v>
      </x:c>
      <x:c r="S17" s="17" t="str">
        <x:v>공식 또는 널리 쓰이는 영문 표기</x:v>
      </x:c>
      <x:c r="T17" s="17" t="str">
        <x:v>더술닷컴 찾아가는 양조장 자료와 제조사 페이지를 교차 확인</x:v>
      </x:c>
    </x:row>
    <x:row r="18" ht="78" customHeight="1">
      <x:c r="A18" s="17" t="str">
        <x:v>OTHER</x:v>
      </x:c>
      <x:c r="B18" s="17" t="str">
        <x:v>㈜화요</x:v>
      </x:c>
      <x:c r="C18" s="17" t="str">
        <x:v>Hwayo Co., Ltd.</x:v>
      </x:c>
      <x:c r="D18" s="17"/>
      <x:c r="E18" s="17" t="str">
        <x:v>https://www.hwayo.com/</x:v>
      </x:c>
      <x:c r="F18" s="17" t="str">
        <x:v>㈜화요, (주)화요, Hwayo Co., Ltd., 화요 41%, 25%, 17%, 화요53, 화요41, 화요25, 화요 X.Premium, 화요17</x:v>
      </x:c>
      <x:c r="G18" s="17" t="str">
        <x:v>대한민국</x:v>
      </x:c>
      <x:c r="H18" s="17" t="str">
        <x:v>경기도</x:v>
      </x:c>
      <x:c r="I18" s="17" t="str">
        <x:v>㈜화요(Hwayo Co., Ltd.)은 대한민국 경기도에 기반을 둔 증류식 소주 제조사입니다. 대표 제품군에는 화요 41%, 25%, 17%·화요53·화요41·화요25·화요 X.Premium·화요17 등이 포함됩니다. 제품 원료에는 쌀 등이 쓰이며, 원료 선택과 발효·증류 방식의 차이를 살려 제품별 개성을 구성하는 데 초점을 둡니다.</x:v>
      </x:c>
      <x:c r="J18" s="17" t="str">
        <x:v>㈜화요 (Hwayo Co., Ltd.) is a distilled soju producer based in Gyeonggi-do, South Korea. Its core range includes 화요 41%, 25%, 17%, 화요53, 화요41, 화요25, 화요 X.Premium, 화요17. The range uses ingredients such as rice. Its portfolio emphasizes ingredient choice and differences in fermentation and distillation to give each expression a distinct identity.</x:v>
      </x:c>
      <x:c r="K18" s="17" t="str">
        <x:v>화요 41%, 25%, 17%, 화요53, 화요41, 화요25, 화요 X.Premium, 화요17</x:v>
      </x:c>
      <x:c r="L18" s="17" t="str">
        <x:v>증류식</x:v>
      </x:c>
      <x:c r="M18" s="17" t="str">
        <x:v>2026 조사 시점 공공 카탈로그 등재와 제조사·판매 페이지를 대조</x:v>
      </x:c>
      <x:c r="N18" s="17" t="str">
        <x:v>https://thesool.com/front/find/M000000082/view.do?productId=PR00000592</x:v>
      </x:c>
      <x:c r="O18" s="17" t="str">
        <x:v>https://www.hwayo.com/</x:v>
      </x:c>
      <x:c r="P18" s="17" t="str">
        <x:v>https://i.nts.go.kr/llsc/na/ntt/selectNttList.do?bbsId=22830&amp;mi=1511</x:v>
      </x:c>
      <x:c r="Q18" s="17" t="str">
        <x:v>B | 2개 출처 일치</x:v>
      </x:c>
      <x:c r="R18" s="17" t="str">
        <x:v>공식 설립연도 미확인</x:v>
      </x:c>
      <x:c r="S18" s="17" t="str">
        <x:v>공식 또는 널리 쓰이는 영문 표기</x:v>
      </x:c>
      <x:c r="T18" s="17" t="str">
        <x:v>등록 가능. 설립연도·공식 영문명은 공개 근거가 없으면 빈칸/권장 표기로 유지</x:v>
      </x:c>
    </x:row>
    <x:row r="19" ht="78" customHeight="1">
      <x:c r="A19" s="17" t="str">
        <x:v>OTHER</x:v>
      </x:c>
      <x:c r="B19" s="17" t="str">
        <x:v>국가유산·명인 조옥화 안동소주</x:v>
      </x:c>
      <x:c r="C19" s="17" t="str">
        <x:v>Cho Ok-hwa Andong Soju</x:v>
      </x:c>
      <x:c r="D19" s="17"/>
      <x:c r="E19" s="17" t="str">
        <x:v>https://www.andongsoju.com/</x:v>
      </x:c>
      <x:c r="F19" s="17" t="str">
        <x:v>국가유산·명인 조옥화 안동소주, Cho Ok-hwa Andong Soju, 국가유산·명인 조옥화 안동소주 45도</x:v>
      </x:c>
      <x:c r="G19" s="17" t="str">
        <x:v>대한민국</x:v>
      </x:c>
      <x:c r="H19" s="17" t="str">
        <x:v>경상북도</x:v>
      </x:c>
      <x:c r="I19" s="17" t="str">
        <x:v>국가유산·명인 조옥화 안동소주(Cho Ok-hwa Andong Soju)은 대한민국 경상북도에 기반을 둔 증류식 소주 제조사입니다. 대표 제품군에는 국가유산·명인 조옥화 안동소주 45도 등이 포함됩니다. 제품 원료에는 쌀·누룩·국 등이 쓰이며, 원료 선택과 발효·증류 방식의 차이를 살려 제품별 개성을 구성하는 데 초점을 둡니다.</x:v>
      </x:c>
      <x:c r="J19" s="17" t="str">
        <x:v>국가유산·명인 조옥화 안동소주 (Cho Ok-hwa Andong Soju) is a distilled soju producer based in Gyeongsangbuk-do, South Korea. Its core range includes 국가유산·명인 조옥화 안동소주 45도. The range uses ingredients such as rice, nuruk or koji. Its portfolio emphasizes ingredient choice and differences in fermentation and distillation to give each expression a distinct identity.</x:v>
      </x:c>
      <x:c r="K19" s="17" t="str">
        <x:v>국가유산·명인 조옥화 안동소주 45도</x:v>
      </x:c>
      <x:c r="L19" s="17" t="str">
        <x:v>증류식</x:v>
      </x:c>
      <x:c r="M19" s="17" t="str">
        <x:v>2026 조사 시점 공공 카탈로그 등재와 제조사·판매 페이지를 대조</x:v>
      </x:c>
      <x:c r="N19" s="17" t="str">
        <x:v>https://thesool.com/front/find/M000000082/view.do?productId=PR00001370</x:v>
      </x:c>
      <x:c r="O19" s="17" t="str">
        <x:v>https://www.andongsoju.com/</x:v>
      </x:c>
      <x:c r="P19" s="17" t="str"/>
      <x:c r="Q19" s="17" t="str">
        <x:v>B | 2개 출처 일치</x:v>
      </x:c>
      <x:c r="R19" s="17" t="str">
        <x:v>공식 설립연도 미확인</x:v>
      </x:c>
      <x:c r="S19" s="17" t="str">
        <x:v>공식 또는 널리 쓰이는 영문 표기</x:v>
      </x:c>
      <x:c r="T19" s="17" t="str">
        <x:v>등록 가능. 설립연도·공식 영문명은 공개 근거가 없으면 빈칸/권장 표기로 유지</x:v>
      </x:c>
    </x:row>
    <x:row r="20" ht="78" customHeight="1">
      <x:c r="A20" s="17" t="str">
        <x:v>OTHER</x:v>
      </x:c>
      <x:c r="B20" s="17" t="str">
        <x:v>국순당 횡성양조장</x:v>
      </x:c>
      <x:c r="C20" s="17" t="str">
        <x:v>Kooksoondang Hoengseong Brewery</x:v>
      </x:c>
      <x:c r="D20" s="17"/>
      <x:c r="E20" s="17" t="str">
        <x:v>http://drink.ksdb.co.kr/</x:v>
      </x:c>
      <x:c r="F20" s="17" t="str">
        <x:v>국순당 횡성양조장, Kooksoondang Hoengseong Brewery, 려, 려 2013 본</x:v>
      </x:c>
      <x:c r="G20" s="17" t="str">
        <x:v>대한민국</x:v>
      </x:c>
      <x:c r="H20" s="17" t="str">
        <x:v>강원도</x:v>
      </x:c>
      <x:c r="I20" s="17" t="str">
        <x:v>국순당 횡성양조장(Kooksoondang Hoengseong Brewery)은 대한민국 강원도에 기반을 둔 증류식 소주 제조사입니다. 대표 제품군에는 려·려 2013 본 등이 포함됩니다. 제품 원료에는 쌀·고구마 등이 쓰이며, 원료 선택과 발효·증류 방식의 차이를 살려 제품별 개성을 구성하는 데 초점을 둡니다.</x:v>
      </x:c>
      <x:c r="J20" s="17" t="str">
        <x:v>국순당 횡성양조장 (Kooksoondang Hoengseong Brewery) is a distilled soju producer based in Gangwon-do, South Korea. Its core range includes 려, 려 2013 본. The range uses ingredients such as rice, sweet potato. Its portfolio emphasizes ingredient choice and differences in fermentation and distillation to give each expression a distinct identity.</x:v>
      </x:c>
      <x:c r="K20" s="17" t="str">
        <x:v>려, 려 2013 본</x:v>
      </x:c>
      <x:c r="L20" s="17" t="str">
        <x:v>증류식</x:v>
      </x:c>
      <x:c r="M20" s="17" t="str">
        <x:v>2026 조사 시점 공공 카탈로그 등재와 제조사·판매 페이지를 대조</x:v>
      </x:c>
      <x:c r="N20" s="17" t="str">
        <x:v>https://thesool.com/front/find/M000000082/view.do?productId=PR00000539</x:v>
      </x:c>
      <x:c r="O20" s="17" t="str">
        <x:v>http://drink.ksdb.co.kr/</x:v>
      </x:c>
      <x:c r="P20" s="17" t="str"/>
      <x:c r="Q20" s="17" t="str">
        <x:v>B | 2개 출처 일치</x:v>
      </x:c>
      <x:c r="R20" s="17" t="str">
        <x:v>공식 설립연도 미확인</x:v>
      </x:c>
      <x:c r="S20" s="17" t="str">
        <x:v>공식 또는 널리 쓰이는 영문 표기</x:v>
      </x:c>
      <x:c r="T20" s="17" t="str">
        <x:v>등록 가능. 설립연도·공식 영문명은 공개 근거가 없으면 빈칸/권장 표기로 유지</x:v>
      </x:c>
    </x:row>
    <x:row r="21" ht="78" customHeight="1">
      <x:c r="A21" s="17" t="str">
        <x:v>OTHER</x:v>
      </x:c>
      <x:c r="B21" s="17" t="str">
        <x:v>국순당여주명주㈜</x:v>
      </x:c>
      <x:c r="C21" s="17" t="str">
        <x:v>Kooksoondang Yeoju Myungju Co., Ltd.</x:v>
      </x:c>
      <x:c r="D21" s="17"/>
      <x:c r="E21" s="17" t="str">
        <x:v>http://www.ksdyeoju.com/</x:v>
      </x:c>
      <x:c r="F21" s="17" t="str">
        <x:v>국순당여주명주, 국순당여주명주(주), 국순당여주명주㈜, Kooksoondang Yeoju Myungju Co., Ltd., 려 고구마 소주, 려40</x:v>
      </x:c>
      <x:c r="G21" s="17" t="str">
        <x:v>대한민국</x:v>
      </x:c>
      <x:c r="H21" s="17" t="str">
        <x:v>경기도</x:v>
      </x:c>
      <x:c r="I21" s="17" t="str">
        <x:v>국순당여주명주㈜(Kooksoondang Yeoju Myungju Co., Ltd.)은 대한민국 경기도에 기반을 둔 증류식 소주 제조사입니다. 대표 제품군에는 려 고구마 소주·려40 등이 포함됩니다. 제품 원료에는 쌀·고구마 등이 쓰이며, 원료 선택과 발효·증류 방식의 차이를 살려 제품별 개성을 구성하는 데 초점을 둡니다.</x:v>
      </x:c>
      <x:c r="J21" s="17" t="str">
        <x:v>국순당여주명주㈜ (Kooksoondang Yeoju Myungju Co., Ltd.) is a distilled soju producer based in Gyeonggi-do, South Korea. Its core range includes 려 고구마 소주, 려40. The range uses ingredients such as rice, sweet potato. Its portfolio emphasizes ingredient choice and differences in fermentation and distillation to give each expression a distinct identity.</x:v>
      </x:c>
      <x:c r="K21" s="17" t="str">
        <x:v>려 고구마 소주, 려40</x:v>
      </x:c>
      <x:c r="L21" s="17" t="str">
        <x:v>증류식</x:v>
      </x:c>
      <x:c r="M21" s="17" t="str">
        <x:v>2026 조사 시점 공공 카탈로그 등재와 제조사·판매 페이지를 대조</x:v>
      </x:c>
      <x:c r="N21" s="17" t="str">
        <x:v>https://thesool.com/front/find/M000000082/view.do?productId=PR00001033</x:v>
      </x:c>
      <x:c r="O21" s="17" t="str">
        <x:v>http://www.ksdyeoju.com/</x:v>
      </x:c>
      <x:c r="P21" s="17" t="str">
        <x:v>https://i.nts.go.kr/llsc/na/ntt/selectNttList.do?bbsId=22830&amp;mi=1511</x:v>
      </x:c>
      <x:c r="Q21" s="17" t="str">
        <x:v>B | 2개 출처 일치</x:v>
      </x:c>
      <x:c r="R21" s="17" t="str">
        <x:v>공식 설립연도 미확인</x:v>
      </x:c>
      <x:c r="S21" s="17" t="str">
        <x:v>공식 또는 널리 쓰이는 영문 표기</x:v>
      </x:c>
      <x:c r="T21" s="17" t="str">
        <x:v>등록 가능. 설립연도·공식 영문명은 공개 근거가 없으면 빈칸/권장 표기로 유지</x:v>
      </x:c>
    </x:row>
    <x:row r="22" ht="78" customHeight="1">
      <x:c r="A22" s="17" t="str">
        <x:v>OTHER</x:v>
      </x:c>
      <x:c r="B22" s="17" t="str">
        <x:v>남한산성소주</x:v>
      </x:c>
      <x:c r="C22" s="17" t="str">
        <x:v>Namhansanseongsoju Brewery</x:v>
      </x:c>
      <x:c r="D22" s="17"/>
      <x:c r="E22" s="17" t="str">
        <x:v>http://www.sansungsoju.com/</x:v>
      </x:c>
      <x:c r="F22" s="17" t="str">
        <x:v>남한산성소주, Namhansanseongsoju Brewery, 남한산성소주 21</x:v>
      </x:c>
      <x:c r="G22" s="17" t="str">
        <x:v>대한민국</x:v>
      </x:c>
      <x:c r="H22" s="17" t="str">
        <x:v>경기도</x:v>
      </x:c>
      <x:c r="I22" s="17" t="str">
        <x:v>남한산성소주(Namhansanseongsoju Brewery)은 대한민국 경기도에 기반을 둔 증류식 소주 제조사입니다. 대표 제품군에는 남한산성소주·남한산성소주 21 등이 포함됩니다. 제품 원료에는 쌀·보리·누룩·국 등이 쓰이며, 원료 선택과 발효·증류 방식의 차이를 살려 제품별 개성을 구성하는 데 초점을 둡니다.</x:v>
      </x:c>
      <x:c r="J22" s="17" t="str">
        <x:v>남한산성소주 (Namhansanseongsoju Brewery) is a distilled soju producer based in Gyeonggi-do, South Korea. Its core range includes 남한산성소주, 남한산성소주 21. The range uses ingredients such as rice, barley, nuruk or koji. Its portfolio emphasizes ingredient choice and differences in fermentation and distillation to give each expression a distinct identity.</x:v>
      </x:c>
      <x:c r="K22" s="17" t="str">
        <x:v>남한산성소주, 남한산성소주 21</x:v>
      </x:c>
      <x:c r="L22" s="17" t="str">
        <x:v>증류식</x:v>
      </x:c>
      <x:c r="M22" s="17" t="str">
        <x:v>2026 조사 시점 공공 카탈로그 등재와 제조사·판매 페이지를 대조</x:v>
      </x:c>
      <x:c r="N22" s="17" t="str">
        <x:v>https://thesool.com/front/find/M000000082/view.do?productId=PR00000586</x:v>
      </x:c>
      <x:c r="O22" s="17" t="str">
        <x:v>http://www.sansungsoju.com/</x:v>
      </x:c>
      <x:c r="P22" s="17" t="str"/>
      <x:c r="Q22" s="17" t="str">
        <x:v>B | 2개 출처 일치</x:v>
      </x:c>
      <x:c r="R22" s="17" t="str">
        <x:v>공식 설립연도 미확인</x:v>
      </x:c>
      <x:c r="S22" s="17" t="str">
        <x:v>권장 로마자 표기 — 등록 전 공식 표기 확인</x:v>
      </x:c>
      <x:c r="T22" s="17" t="str">
        <x:v>등록 가능. 설립연도·공식 영문명은 공개 근거가 없으면 빈칸/권장 표기로 유지</x:v>
      </x:c>
    </x:row>
    <x:row r="23" ht="78" customHeight="1">
      <x:c r="A23" s="17" t="str">
        <x:v>OTHER</x:v>
      </x:c>
      <x:c r="B23" s="17" t="str">
        <x:v>내변산</x:v>
      </x:c>
      <x:c r="C23" s="17" t="str">
        <x:v>Naebyeonsan Brewery</x:v>
      </x:c>
      <x:c r="D23" s="17"/>
      <x:c r="E23" s="17" t="str">
        <x:v>https://smartstore.naver.com/odwine/products/6140247908</x:v>
      </x:c>
      <x:c r="F23" s="17" t="str">
        <x:v>내변산, Naebyeonsan Brewery, 백제소주</x:v>
      </x:c>
      <x:c r="G23" s="17" t="str">
        <x:v>대한민국</x:v>
      </x:c>
      <x:c r="H23" s="17" t="str">
        <x:v>전라북도</x:v>
      </x:c>
      <x:c r="I23" s="17" t="str">
        <x:v>내변산(Naebyeonsan Brewery)은 대한민국 전라북도에 기반을 둔 증류식 소주 제조사입니다. 대표 제품군에는 백제소주 등이 포함됩니다. 제품 원료에는 쌀 등이 쓰이며, 원료 선택과 발효·증류 방식의 차이를 살려 제품별 개성을 구성하는 데 초점을 둡니다.</x:v>
      </x:c>
      <x:c r="J23" s="17" t="str">
        <x:v>내변산 (Naebyeonsan Brewery) is a distilled soju producer based in Jeollabuk-do, South Korea. Its core range includes 백제소주. The range uses ingredients such as rice. Its portfolio emphasizes ingredient choice and differences in fermentation and distillation to give each expression a distinct identity.</x:v>
      </x:c>
      <x:c r="K23" s="17" t="str">
        <x:v>백제소주</x:v>
      </x:c>
      <x:c r="L23" s="17" t="str">
        <x:v>증류식</x:v>
      </x:c>
      <x:c r="M23" s="17" t="str">
        <x:v>2026 조사 시점 공공 카탈로그 등재와 제조사·판매 페이지를 대조</x:v>
      </x:c>
      <x:c r="N23" s="17" t="str">
        <x:v>https://thesool.com/front/find/M000000082/view.do?productId=PR00001019</x:v>
      </x:c>
      <x:c r="O23" s="17" t="str">
        <x:v>https://smartstore.naver.com/odwine/products/6140247908</x:v>
      </x:c>
      <x:c r="P23" s="17" t="str"/>
      <x:c r="Q23" s="17" t="str">
        <x:v>B | 2개 출처 일치</x:v>
      </x:c>
      <x:c r="R23" s="17" t="str">
        <x:v>공식 설립연도 미확인</x:v>
      </x:c>
      <x:c r="S23" s="17" t="str">
        <x:v>권장 로마자 표기 — 등록 전 공식 표기 확인</x:v>
      </x:c>
      <x:c r="T23" s="17" t="str">
        <x:v>등록 가능. 설립연도·공식 영문명은 공개 근거가 없으면 빈칸/권장 표기로 유지</x:v>
      </x:c>
    </x:row>
    <x:row r="24" ht="78" customHeight="1">
      <x:c r="A24" s="17" t="str">
        <x:v>OTHER</x:v>
      </x:c>
      <x:c r="B24" s="17" t="str">
        <x:v>내외 디스틸러리</x:v>
      </x:c>
      <x:c r="C24" s="17" t="str">
        <x:v>Naeoe Distillery</x:v>
      </x:c>
      <x:c r="D24" s="17"/>
      <x:c r="E24" s="17" t="str"/>
      <x:c r="F24" s="17" t="str">
        <x:v>내외39, 내외 디스틸러리, Naeoe Distillery</x:v>
      </x:c>
      <x:c r="G24" s="17" t="str">
        <x:v>대한민국</x:v>
      </x:c>
      <x:c r="H24" s="17" t="str"/>
      <x:c r="I24" s="17" t="str">
        <x:v>내외 디스틸러리(Naeoe Distillery)은 대한민국에 기반을 둔 증류식 소주 제조사입니다. 대표 제품군에는 내외39 등이 포함됩니다. 원료 선택과 발효·증류 방식의 차이를 살려 제품별 개성을 구성하는 데 초점을 둡니다.</x:v>
      </x:c>
      <x:c r="J24" s="17" t="str">
        <x:v>내외 디스틸러리 (Naeoe Distillery) is a distilled soju producer operating in South Korea. Its core range includes 내외39. Its portfolio emphasizes ingredient choice and differences in fermentation and distillation to give each expression a distinct identity.</x:v>
      </x:c>
      <x:c r="K24" s="17" t="str">
        <x:v>내외39</x:v>
      </x:c>
      <x:c r="L24" s="17" t="str">
        <x:v>증류식</x:v>
      </x:c>
      <x:c r="M24" s="17" t="str">
        <x:v>2026 국세청 K-SUUL 참가 제품으로 현재 생산 활동 확인. 공식 홈페이지·설립연도는 공개 확인이 필요</x:v>
      </x:c>
      <x:c r="N24" s="17" t="str">
        <x:v>https://t.nts.go.kr/dongdaegu/na/ntt/selectNttInfo.do?mi=2201&amp;nttSn=1351814</x:v>
      </x:c>
      <x:c r="O24" s="17" t="str"/>
      <x:c r="P24" s="17" t="str"/>
      <x:c r="Q24" s="17" t="str">
        <x:v>A | 2026 공식 확인</x:v>
      </x:c>
      <x:c r="R24" s="17" t="str">
        <x:v>공식 설립연도 미확인</x:v>
      </x:c>
      <x:c r="S24" s="17" t="str">
        <x:v>공식 또는 널리 쓰이는 영문 표기</x:v>
      </x:c>
      <x:c r="T24" s="17" t="str">
        <x:v>2026 국세청 K-SUUL 참가 제품으로 현재 생산 활동 확인. 공식 홈페이지·설립연도는 공개 확인이 필요</x:v>
      </x:c>
    </x:row>
    <x:row r="25" ht="78" customHeight="1">
      <x:c r="A25" s="17" t="str">
        <x:v>OTHER</x:v>
      </x:c>
      <x:c r="B25" s="17" t="str">
        <x:v>농업회사법인 (유) 양촌양조</x:v>
      </x:c>
      <x:c r="C25" s="17" t="str">
        <x:v>Yangchonyangjo Brewery</x:v>
      </x:c>
      <x:c r="D25" s="17"/>
      <x:c r="E25" s="17" t="str">
        <x:v>http://www.yangchon.co.kr/</x:v>
      </x:c>
      <x:c r="F25" s="17" t="str">
        <x:v>농업회사법인 (유)양촌양조, 농업회사법인 (유) 양촌양조, Yangchonyangjo Brewery, 여유40</x:v>
      </x:c>
      <x:c r="G25" s="17" t="str">
        <x:v>대한민국</x:v>
      </x:c>
      <x:c r="H25" s="17" t="str">
        <x:v>충청남도</x:v>
      </x:c>
      <x:c r="I25" s="17" t="str">
        <x:v>농업회사법인 (유) 양촌양조(Yangchonyangjo Brewery)은 대한민국 충청남도에 기반을 둔 증류식 소주 제조사입니다. 대표 제품군에는 여유40 등이 포함됩니다. 원료 선택과 발효·증류 방식의 차이를 살려 제품별 개성을 구성하는 데 초점을 둡니다.</x:v>
      </x:c>
      <x:c r="J25" s="17" t="str">
        <x:v>농업회사법인 (유) 양촌양조 (Yangchonyangjo Brewery) is a distilled soju producer based in Chungcheongnam-do, South Korea. Its core range includes 여유40. Its portfolio emphasizes ingredient choice and differences in fermentation and distillation to give each expression a distinct identity.</x:v>
      </x:c>
      <x:c r="K25" s="17" t="str">
        <x:v>여유40</x:v>
      </x:c>
      <x:c r="L25" s="17" t="str">
        <x:v>증류식</x:v>
      </x:c>
      <x:c r="M25" s="17" t="str">
        <x:v>2026 조사 시점 공공 카탈로그 등재와 제조사·판매 페이지를 대조</x:v>
      </x:c>
      <x:c r="N25" s="17" t="str">
        <x:v>https://thesool.com/front/find/M000000082/view.do?productId=PR00001410</x:v>
      </x:c>
      <x:c r="O25" s="17" t="str">
        <x:v>http://www.yangchon.co.kr/</x:v>
      </x:c>
      <x:c r="P25" s="17" t="str"/>
      <x:c r="Q25" s="17" t="str">
        <x:v>B | 2개 출처 일치</x:v>
      </x:c>
      <x:c r="R25" s="17" t="str">
        <x:v>공식 설립연도 미확인</x:v>
      </x:c>
      <x:c r="S25" s="17" t="str">
        <x:v>권장 로마자 표기 — 등록 전 공식 표기 확인</x:v>
      </x:c>
      <x:c r="T25" s="17" t="str">
        <x:v>등록 가능. 설립연도·공식 영문명은 공개 근거가 없으면 빈칸/권장 표기로 유지</x:v>
      </x:c>
    </x:row>
    <x:row r="26" ht="78" customHeight="1">
      <x:c r="A26" s="17" t="str">
        <x:v>OTHER</x:v>
      </x:c>
      <x:c r="B26" s="17" t="str">
        <x:v>농업회사법인 (유) 화양</x:v>
      </x:c>
      <x:c r="C26" s="17" t="str">
        <x:v>Hwayang Agricultural Corporation</x:v>
      </x:c>
      <x:c r="D26" s="17"/>
      <x:c r="E26" s="17" t="str"/>
      <x:c r="F26" s="17" t="str">
        <x:v>화양, 풍정사계 동, 풍정사계, 농업회사법인 (유) 화양, Hwayang Agricultural Corporation</x:v>
      </x:c>
      <x:c r="G26" s="17" t="str">
        <x:v>대한민국</x:v>
      </x:c>
      <x:c r="H26" s="17" t="str">
        <x:v>충청북도</x:v>
      </x:c>
      <x:c r="I26" s="17" t="str">
        <x:v>농업회사법인 (유) 화양(Hwayang Agricultural Corporation)은 대한민국 충청북도에 기반을 둔 증류식 소주 제조사입니다. 대표 제품군에는 풍정사계 동 등이 포함됩니다. 원료 선택과 발효·증류 방식의 차이를 살려 제품별 개성을 구성하는 데 초점을 둡니다.</x:v>
      </x:c>
      <x:c r="J26" s="17" t="str">
        <x:v>농업회사법인 (유) 화양 (Hwayang Agricultural Corporation) is a distilled soju producer based in Chungcheongbuk-do, South Korea. Its core range includes 풍정사계 동. Its portfolio emphasizes ingredient choice and differences in fermentation and distillation to give each expression a distinct identity.</x:v>
      </x:c>
      <x:c r="K26" s="17" t="str">
        <x:v>풍정사계 동</x:v>
      </x:c>
      <x:c r="L26" s="17" t="str">
        <x:v>증류식</x:v>
      </x:c>
      <x:c r="M26" s="17" t="str">
        <x:v>더술닷컴이 풍정사계 동을 증류식 소주로 명시하고 국세청 제품 목록과 제조사를 교차 확인</x:v>
      </x:c>
      <x:c r="N26" s="17" t="str">
        <x:v>https://thesool.com/front/publication/M000000066/view.do?bbsId=A000000044&amp;page=4&amp;publicationId=C000002311&amp;searchCategory=&amp;searchKey=B000000192&amp;searchString=</x:v>
      </x:c>
      <x:c r="O26" s="17" t="str">
        <x:v>https://i.nts.go.kr/llsc/na/ntt/selectNttList.do?bbsId=22830&amp;mi=1511</x:v>
      </x:c>
      <x:c r="P26" s="17" t="str">
        <x:v>https://thesool.com/front/find/M000000086/list.do?kind=CD00000144</x:v>
      </x:c>
      <x:c r="Q26" s="17" t="str">
        <x:v>B | 2개 출처 일치</x:v>
      </x:c>
      <x:c r="R26" s="17" t="str">
        <x:v>공식 설립연도 미확인</x:v>
      </x:c>
      <x:c r="S26" s="17" t="str">
        <x:v>공식 또는 널리 쓰이는 영문 표기</x:v>
      </x:c>
      <x:c r="T26" s="17" t="str">
        <x:v>더술닷컴이 풍정사계 동을 증류식 소주로 명시하고 국세청 제품 목록과 제조사를 교차 확인</x:v>
      </x:c>
    </x:row>
    <x:row r="27" ht="78" customHeight="1">
      <x:c r="A27" s="17" t="str">
        <x:v>OTHER</x:v>
      </x:c>
      <x:c r="B27" s="17" t="str">
        <x:v>농업회사법인 ㈜달홀주조</x:v>
      </x:c>
      <x:c r="C27" s="17" t="str">
        <x:v>Dalholjujo Brewery</x:v>
      </x:c>
      <x:c r="D27" s="17"/>
      <x:c r="E27" s="17" t="str">
        <x:v>http://dalholju.com/</x:v>
      </x:c>
      <x:c r="F27" s="17" t="str">
        <x:v>농업회사법인 달홀주조, 농업회사법인(주)달홀주조, 농업회사법인 ㈜달홀주조, Dalholjujo Brewery, 달홀진주25, 달홀진주</x:v>
      </x:c>
      <x:c r="G27" s="17" t="str">
        <x:v>대한민국</x:v>
      </x:c>
      <x:c r="H27" s="17" t="str">
        <x:v>강원도</x:v>
      </x:c>
      <x:c r="I27" s="17" t="str">
        <x:v>농업회사법인 ㈜달홀주조(Dalholjujo Brewery)은 대한민국 강원도에 기반을 둔 증류식 소주 제조사입니다. 대표 제품군에는 달홀진주25·달홀진주 등이 포함됩니다. 제품 원료에는 쌀 등이 쓰이며, 원료 선택과 발효·증류 방식의 차이를 살려 제품별 개성을 구성하는 데 초점을 둡니다.</x:v>
      </x:c>
      <x:c r="J27" s="17" t="str">
        <x:v>농업회사법인 ㈜달홀주조 (Dalholjujo Brewery) is a distilled soju producer based in Gangwon-do, South Korea. Its core range includes 달홀진주25, 달홀진주. The range uses ingredients such as rice. Its portfolio emphasizes ingredient choice and differences in fermentation and distillation to give each expression a distinct identity.</x:v>
      </x:c>
      <x:c r="K27" s="17" t="str">
        <x:v>달홀진주25, 달홀진주</x:v>
      </x:c>
      <x:c r="L27" s="17" t="str">
        <x:v>증류식</x:v>
      </x:c>
      <x:c r="M27" s="17" t="str">
        <x:v>2026 조사 시점 공공 카탈로그 등재와 제조사·판매 페이지를 대조</x:v>
      </x:c>
      <x:c r="N27" s="17" t="str">
        <x:v>https://thesool.com/front/find/M000000082/view.do?productId=PR00000740</x:v>
      </x:c>
      <x:c r="O27" s="17" t="str">
        <x:v>http://dalholju.com/</x:v>
      </x:c>
      <x:c r="P27" s="17" t="str">
        <x:v>https://i.nts.go.kr/llsc/na/ntt/selectNttList.do?bbsId=22830&amp;mi=1511</x:v>
      </x:c>
      <x:c r="Q27" s="17" t="str">
        <x:v>B | 2개 출처 일치</x:v>
      </x:c>
      <x:c r="R27" s="17" t="str">
        <x:v>공식 설립연도 미확인</x:v>
      </x:c>
      <x:c r="S27" s="17" t="str">
        <x:v>권장 로마자 표기 — 등록 전 공식 표기 확인</x:v>
      </x:c>
      <x:c r="T27" s="17" t="str">
        <x:v>등록 가능. 설립연도·공식 영문명은 공개 근거가 없으면 빈칸/권장 표기로 유지</x:v>
      </x:c>
    </x:row>
    <x:row r="28" ht="78" customHeight="1">
      <x:c r="A28" s="17" t="str">
        <x:v>OTHER</x:v>
      </x:c>
      <x:c r="B28" s="17" t="str">
        <x:v>농업회사법인 ㈜온증류소</x:v>
      </x:c>
      <x:c r="C28" s="17" t="str">
        <x:v>Distillery On Co., Ltd.</x:v>
      </x:c>
      <x:c r="D28" s="17"/>
      <x:c r="E28" s="17" t="str">
        <x:v>https://smartstore.naver.com/distilleryon</x:v>
      </x:c>
      <x:c r="F28" s="17" t="str">
        <x:v>온 증류소, 농업회사법인 (주)온증류소, 농업회사법인 ㈜온증류소, Distillery On Co., Ltd., 형형 25, 연연 25, 형형40</x:v>
      </x:c>
      <x:c r="G28" s="17" t="str">
        <x:v>대한민국</x:v>
      </x:c>
      <x:c r="H28" s="17" t="str">
        <x:v>경기도</x:v>
      </x:c>
      <x:c r="I28" s="17" t="str">
        <x:v>농업회사법인 ㈜온증류소(Distillery On Co., Ltd.)은 대한민국 경기도에 기반을 둔 증류식 소주 제조사입니다. 대표 제품군에는 형형 25·연연 25·형형40 등이 포함됩니다. 제품 원료에는 쌀 등이 쓰이며, 원료 선택과 발효·증류 방식의 차이를 살려 제품별 개성을 구성하는 데 초점을 둡니다.</x:v>
      </x:c>
      <x:c r="J28" s="17" t="str">
        <x:v>농업회사법인 ㈜온증류소 (Distillery On Co., Ltd.) is a distilled soju producer based in Gyeonggi-do, South Korea. Its core range includes 형형 25, 연연 25, 형형40. The range uses ingredients such as rice. Its portfolio emphasizes ingredient choice and differences in fermentation and distillation to give each expression a distinct identity.</x:v>
      </x:c>
      <x:c r="K28" s="17" t="str">
        <x:v>형형 25, 연연 25, 형형40</x:v>
      </x:c>
      <x:c r="L28" s="17" t="str">
        <x:v>증류식</x:v>
      </x:c>
      <x:c r="M28" s="17" t="str">
        <x:v>2026 조사 시점 공공 카탈로그 등재와 제조사·판매 페이지를 대조</x:v>
      </x:c>
      <x:c r="N28" s="17" t="str">
        <x:v>https://thesool.com/front/find/M000000082/view.do?productId=PR00001269</x:v>
      </x:c>
      <x:c r="O28" s="17" t="str">
        <x:v>https://smartstore.naver.com/distilleryon</x:v>
      </x:c>
      <x:c r="P28" s="17" t="str"/>
      <x:c r="Q28" s="17" t="str">
        <x:v>B | 2개 출처 일치</x:v>
      </x:c>
      <x:c r="R28" s="17" t="str">
        <x:v>공식 설립연도 미확인</x:v>
      </x:c>
      <x:c r="S28" s="17" t="str">
        <x:v>공식 또는 널리 쓰이는 영문 표기</x:v>
      </x:c>
      <x:c r="T28" s="17" t="str">
        <x:v>등록 가능. 설립연도·공식 영문명은 공개 근거가 없으면 빈칸/권장 표기로 유지</x:v>
      </x:c>
    </x:row>
    <x:row r="29" ht="78" customHeight="1">
      <x:c r="A29" s="17" t="str">
        <x:v>OTHER</x:v>
      </x:c>
      <x:c r="B29" s="17" t="str">
        <x:v>농업회사법인 담을</x:v>
      </x:c>
      <x:c r="C29" s="17" t="str">
        <x:v>Dameul Brewery</x:v>
      </x:c>
      <x:c r="D29" s="17"/>
      <x:c r="E29" s="17" t="str">
        <x:v>https://smartstore.naver.com/dameul_service</x:v>
      </x:c>
      <x:c r="F29" s="17" t="str">
        <x:v>담을, 농업회사법인 담을, 농업회사법인담을, Dameul Brewery, 주향소주 25, 주향담을, 주향이오, 주향아라, 주향아라 스페셜, 이음주</x:v>
      </x:c>
      <x:c r="G29" s="17" t="str">
        <x:v>대한민국</x:v>
      </x:c>
      <x:c r="H29" s="17" t="str">
        <x:v>충청북도</x:v>
      </x:c>
      <x:c r="I29" s="17" t="str">
        <x:v>농업회사법인 담을(Dameul Brewery)은 대한민국 충청북도에 기반을 둔 증류식 소주 제조사입니다. 대표 제품군에는 주향소주 25·주향담을·주향이오·주향아라·주향아라 스페셜·이음주 등이 포함됩니다. 제품 원료에는 쌀 등이 쓰이며, 원료 선택과 발효·증류 방식의 차이를 살려 제품별 개성을 구성하는 데 초점을 둡니다.</x:v>
      </x:c>
      <x:c r="J29" s="17" t="str">
        <x:v>농업회사법인 담을 (Dameul Brewery) is a distilled soju producer based in Chungcheongbuk-do, South Korea. Its core range includes 주향소주 25, 주향담을, 주향이오, 주향아라, 주향아라 스페셜, 이음주. The range uses ingredients such as rice. Its portfolio emphasizes ingredient choice and differences in fermentation and distillation to give each expression a distinct identity.</x:v>
      </x:c>
      <x:c r="K29" s="17" t="str">
        <x:v>주향소주 25, 주향담을, 주향이오, 주향아라, 주향아라 스페셜, 이음주</x:v>
      </x:c>
      <x:c r="L29" s="17" t="str">
        <x:v>증류식</x:v>
      </x:c>
      <x:c r="M29" s="17" t="str">
        <x:v>2026 조사 시점 공공 카탈로그 등재와 제조사·판매 페이지를 대조</x:v>
      </x:c>
      <x:c r="N29" s="17" t="str">
        <x:v>https://thesool.com/front/find/M000000082/view.do?productId=PR00001379</x:v>
      </x:c>
      <x:c r="O29" s="17" t="str">
        <x:v>https://smartstore.naver.com/dameul_service</x:v>
      </x:c>
      <x:c r="P29" s="17" t="str">
        <x:v>https://i.nts.go.kr/llsc/na/ntt/selectNttList.do?bbsId=22830&amp;mi=1511</x:v>
      </x:c>
      <x:c r="Q29" s="17" t="str">
        <x:v>B | 2개 출처 일치</x:v>
      </x:c>
      <x:c r="R29" s="17" t="str">
        <x:v>공식 설립연도 미확인</x:v>
      </x:c>
      <x:c r="S29" s="17" t="str">
        <x:v>권장 로마자 표기 — 등록 전 공식 표기 확인</x:v>
      </x:c>
      <x:c r="T29" s="17" t="str">
        <x:v>등록 가능. 설립연도·공식 영문명은 공개 근거가 없으면 빈칸/권장 표기로 유지</x:v>
      </x:c>
    </x:row>
    <x:row r="30" ht="78" customHeight="1">
      <x:c r="A30" s="17" t="str">
        <x:v>OTHER</x:v>
      </x:c>
      <x:c r="B30" s="17" t="str">
        <x:v>농업회사법인 아리랑주조㈜</x:v>
      </x:c>
      <x:c r="C30" s="17" t="str">
        <x:v>Arirangjujo Brewery</x:v>
      </x:c>
      <x:c r="D30" s="17"/>
      <x:c r="E30" s="17" t="str">
        <x:v>https://smartstore.naver.com/arirangjujo/products/4985769134</x:v>
      </x:c>
      <x:c r="F30" s="17" t="str">
        <x:v>두이술공방, 농업회사법인 아리랑주조㈜, Arirangjujo Brewery, 겨울소주 25, 겨울소주45</x:v>
      </x:c>
      <x:c r="G30" s="17" t="str">
        <x:v>대한민국</x:v>
      </x:c>
      <x:c r="H30" s="17" t="str">
        <x:v>충청남도</x:v>
      </x:c>
      <x:c r="I30" s="17" t="str">
        <x:v>농업회사법인 아리랑주조㈜(Arirangjujo Brewery)은 대한민국 충청남도에 기반을 둔 증류식 소주 제조사입니다. 대표 제품군에는 겨울소주 25·겨울소주45 등이 포함됩니다. 제품 원료에는 쌀 등이 쓰이며, 원료 선택과 발효·증류 방식의 차이를 살려 제품별 개성을 구성하는 데 초점을 둡니다.</x:v>
      </x:c>
      <x:c r="J30" s="17" t="str">
        <x:v>농업회사법인 아리랑주조㈜ (Arirangjujo Brewery) is a distilled soju producer based in Chungcheongnam-do, South Korea. Its core range includes 겨울소주 25, 겨울소주45. The range uses ingredients such as rice. Its portfolio emphasizes ingredient choice and differences in fermentation and distillation to give each expression a distinct identity.</x:v>
      </x:c>
      <x:c r="K30" s="17" t="str">
        <x:v>겨울소주 25, 겨울소주45</x:v>
      </x:c>
      <x:c r="L30" s="17" t="str">
        <x:v>증류식</x:v>
      </x:c>
      <x:c r="M30" s="17" t="str">
        <x:v>2026 조사 시점 공공 카탈로그 등재와 제조사·판매 페이지를 대조</x:v>
      </x:c>
      <x:c r="N30" s="17" t="str">
        <x:v>https://thesool.com/front/find/M000000082/view.do?productId=PR00000505</x:v>
      </x:c>
      <x:c r="O30" s="17" t="str">
        <x:v>https://smartstore.naver.com/arirangjujo/products/4985769134</x:v>
      </x:c>
      <x:c r="P30" s="17" t="str"/>
      <x:c r="Q30" s="17" t="str">
        <x:v>B | 2개 출처 일치</x:v>
      </x:c>
      <x:c r="R30" s="17" t="str">
        <x:v>공식 설립연도 미확인</x:v>
      </x:c>
      <x:c r="S30" s="17" t="str">
        <x:v>권장 로마자 표기 — 등록 전 공식 표기 확인</x:v>
      </x:c>
      <x:c r="T30" s="17" t="str">
        <x:v>등록 가능. 설립연도·공식 영문명은 공개 근거가 없으면 빈칸/권장 표기로 유지</x:v>
      </x:c>
    </x:row>
    <x:row r="31" ht="78" customHeight="1">
      <x:c r="A31" s="17" t="str">
        <x:v>OTHER</x:v>
      </x:c>
      <x:c r="B31" s="17" t="str">
        <x:v>농업회사법인 연천양조㈜</x:v>
      </x:c>
      <x:c r="C31" s="17" t="str">
        <x:v>Yeoncheonyangjo Brewery</x:v>
      </x:c>
      <x:c r="D31" s="17"/>
      <x:c r="E31" s="17" t="str">
        <x:v>https://ksool88.modoo.at/</x:v>
      </x:c>
      <x:c r="F31" s="17" t="str">
        <x:v>농업회사법인 연천양조(주), 연천양조, 농업회사법인 연천양조㈜, Yeoncheonyangjo Brewery, 연천 우주, 연천우주 38</x:v>
      </x:c>
      <x:c r="G31" s="17" t="str">
        <x:v>대한민국</x:v>
      </x:c>
      <x:c r="H31" s="17" t="str">
        <x:v>경기도</x:v>
      </x:c>
      <x:c r="I31" s="17" t="str">
        <x:v>농업회사법인 연천양조㈜(Yeoncheonyangjo Brewery)은 대한민국 경기도에 기반을 둔 증류식 소주 제조사입니다. 대표 제품군에는 연천 우주·연천우주 38 등이 포함됩니다. 제품 원료에는 쌀·누룩·국 등이 쓰이며, 원료 선택과 발효·증류 방식의 차이를 살려 제품별 개성을 구성하는 데 초점을 둡니다.</x:v>
      </x:c>
      <x:c r="J31" s="17" t="str">
        <x:v>농업회사법인 연천양조㈜ (Yeoncheonyangjo Brewery) is a distilled soju producer based in Gyeonggi-do, South Korea. Its core range includes 연천 우주, 연천우주 38. The range uses ingredients such as rice, nuruk or koji. Its portfolio emphasizes ingredient choice and differences in fermentation and distillation to give each expression a distinct identity.</x:v>
      </x:c>
      <x:c r="K31" s="17" t="str">
        <x:v>연천 우주, 연천우주 38</x:v>
      </x:c>
      <x:c r="L31" s="17" t="str">
        <x:v>증류식</x:v>
      </x:c>
      <x:c r="M31" s="17" t="str">
        <x:v>2026 조사 시점 공공 카탈로그 등재와 제조사·판매 페이지를 대조</x:v>
      </x:c>
      <x:c r="N31" s="17" t="str">
        <x:v>https://thesool.com/front/find/M000000082/view.do?productId=PR00000481</x:v>
      </x:c>
      <x:c r="O31" s="17" t="str">
        <x:v>https://ksool88.modoo.at/</x:v>
      </x:c>
      <x:c r="P31" s="17" t="str"/>
      <x:c r="Q31" s="17" t="str">
        <x:v>B | 2개 출처 일치</x:v>
      </x:c>
      <x:c r="R31" s="17" t="str">
        <x:v>공식 설립연도 미확인</x:v>
      </x:c>
      <x:c r="S31" s="17" t="str">
        <x:v>권장 로마자 표기 — 등록 전 공식 표기 확인</x:v>
      </x:c>
      <x:c r="T31" s="17" t="str">
        <x:v>등록 가능. 설립연도·공식 영문명은 공개 근거가 없으면 빈칸/권장 표기로 유지</x:v>
      </x:c>
    </x:row>
    <x:row r="32" ht="78" customHeight="1">
      <x:c r="A32" s="17" t="str">
        <x:v>OTHER</x:v>
      </x:c>
      <x:c r="B32" s="17" t="str">
        <x:v>농업회사법인 이가수불㈜</x:v>
      </x:c>
      <x:c r="C32" s="17" t="str">
        <x:v>Igasubul Brewery</x:v>
      </x:c>
      <x:c r="D32" s="17"/>
      <x:c r="E32" s="17" t="str">
        <x:v>https://smartstore.naver.com/leegasubul</x:v>
      </x:c>
      <x:c r="F32" s="17" t="str">
        <x:v>농업회사법인 이가수불㈜, Igasubul Brewery, 이상헌 소주</x:v>
      </x:c>
      <x:c r="G32" s="17" t="str">
        <x:v>대한민국</x:v>
      </x:c>
      <x:c r="H32" s="17" t="str">
        <x:v>충청남도</x:v>
      </x:c>
      <x:c r="I32" s="17" t="str">
        <x:v>농업회사법인 이가수불㈜(Igasubul Brewery)은 대한민국 충청남도에 기반을 둔 증류식 소주 제조사입니다. 대표 제품군에는 이상헌 소주 등이 포함됩니다. 원료 선택과 발효·증류 방식의 차이를 살려 제품별 개성을 구성하는 데 초점을 둡니다.</x:v>
      </x:c>
      <x:c r="J32" s="17" t="str">
        <x:v>농업회사법인 이가수불㈜ (Igasubul Brewery) is a distilled soju producer based in Chungcheongnam-do, South Korea. Its core range includes 이상헌 소주. Its portfolio emphasizes ingredient choice and differences in fermentation and distillation to give each expression a distinct identity.</x:v>
      </x:c>
      <x:c r="K32" s="17" t="str">
        <x:v>이상헌 소주</x:v>
      </x:c>
      <x:c r="L32" s="17" t="str">
        <x:v>증류식</x:v>
      </x:c>
      <x:c r="M32" s="17" t="str">
        <x:v>2026 조사 시점 공공 카탈로그 등재와 제조사·판매 페이지를 대조</x:v>
      </x:c>
      <x:c r="N32" s="17" t="str">
        <x:v>https://thesool.com/front/find/M000000082/view.do?productId=PR00000511</x:v>
      </x:c>
      <x:c r="O32" s="17" t="str">
        <x:v>https://smartstore.naver.com/leegasubul</x:v>
      </x:c>
      <x:c r="P32" s="17" t="str"/>
      <x:c r="Q32" s="17" t="str">
        <x:v>B | 2개 출처 일치</x:v>
      </x:c>
      <x:c r="R32" s="17" t="str">
        <x:v>공식 설립연도 미확인</x:v>
      </x:c>
      <x:c r="S32" s="17" t="str">
        <x:v>권장 로마자 표기 — 등록 전 공식 표기 확인</x:v>
      </x:c>
      <x:c r="T32" s="17" t="str">
        <x:v>등록 가능. 설립연도·공식 영문명은 공개 근거가 없으면 빈칸/권장 표기로 유지</x:v>
      </x:c>
    </x:row>
    <x:row r="33" ht="78" customHeight="1">
      <x:c r="A33" s="17" t="str">
        <x:v>OTHER</x:v>
      </x:c>
      <x:c r="B33" s="17" t="str">
        <x:v>농업회사법인 주식회사 다농바이오</x:v>
      </x:c>
      <x:c r="C33" s="17" t="str">
        <x:v>Danongbaio Brewery</x:v>
      </x:c>
      <x:c r="D33" s="17"/>
      <x:c r="E33" s="17" t="str">
        <x:v>https://danongbio.kr/</x:v>
      </x:c>
      <x:c r="F33" s="17" t="str">
        <x:v>농업회사법인 주식회사 다농바이오, Danongbaio Brewery, 가무치 25도</x:v>
      </x:c>
      <x:c r="G33" s="17" t="str">
        <x:v>대한민국</x:v>
      </x:c>
      <x:c r="H33" s="17" t="str">
        <x:v>충청북도</x:v>
      </x:c>
      <x:c r="I33" s="17" t="str">
        <x:v>농업회사법인 주식회사 다농바이오(Danongbaio Brewery)은 대한민국 충청북도에 기반을 둔 증류식 소주 제조사입니다. 대표 제품군에는 가무치 25도 등이 포함됩니다. 제품 원료에는 쌀 등이 쓰이며, 원료 선택과 발효·증류 방식의 차이를 살려 제품별 개성을 구성하는 데 초점을 둡니다.</x:v>
      </x:c>
      <x:c r="J33" s="17" t="str">
        <x:v>농업회사법인 주식회사 다농바이오 (Danongbaio Brewery) is a distilled soju producer based in Chungcheongbuk-do, South Korea. Its core range includes 가무치 25도. The range uses ingredients such as rice. Its portfolio emphasizes ingredient choice and differences in fermentation and distillation to give each expression a distinct identity.</x:v>
      </x:c>
      <x:c r="K33" s="17" t="str">
        <x:v>가무치 25도</x:v>
      </x:c>
      <x:c r="L33" s="17" t="str">
        <x:v>증류식</x:v>
      </x:c>
      <x:c r="M33" s="17" t="str">
        <x:v>2026 조사 시점 공공 카탈로그 등재와 제조사·판매 페이지를 대조</x:v>
      </x:c>
      <x:c r="N33" s="17" t="str">
        <x:v>https://thesool.com/front/find/M000000082/view.do?productId=PR00001022</x:v>
      </x:c>
      <x:c r="O33" s="17" t="str">
        <x:v>https://danongbio.kr/</x:v>
      </x:c>
      <x:c r="P33" s="17" t="str"/>
      <x:c r="Q33" s="17" t="str">
        <x:v>B | 2개 출처 일치</x:v>
      </x:c>
      <x:c r="R33" s="17" t="str">
        <x:v>공식 설립연도 미확인</x:v>
      </x:c>
      <x:c r="S33" s="17" t="str">
        <x:v>권장 로마자 표기 — 등록 전 공식 표기 확인</x:v>
      </x:c>
      <x:c r="T33" s="17" t="str">
        <x:v>등록 가능. 설립연도·공식 영문명은 공개 근거가 없으면 빈칸/권장 표기로 유지</x:v>
      </x:c>
    </x:row>
    <x:row r="34" ht="78" customHeight="1">
      <x:c r="A34" s="17" t="str">
        <x:v>OTHER</x:v>
      </x:c>
      <x:c r="B34" s="17" t="str">
        <x:v>농업회사법인 주식회사 주연향</x:v>
      </x:c>
      <x:c r="C34" s="17" t="str">
        <x:v>Juyeonhyang Brewery</x:v>
      </x:c>
      <x:c r="D34" s="17"/>
      <x:c r="E34" s="17" t="str">
        <x:v>https://smartstore.naver.com/juyeonhyang</x:v>
      </x:c>
      <x:c r="F34" s="17" t="str">
        <x:v>농업회사법인 주식회사 주연향, Juyeonhyang Brewery, 야수 S 53</x:v>
      </x:c>
      <x:c r="G34" s="17" t="str">
        <x:v>대한민국</x:v>
      </x:c>
      <x:c r="H34" s="17" t="str">
        <x:v>인천</x:v>
      </x:c>
      <x:c r="I34" s="17" t="str">
        <x:v>농업회사법인 주식회사 주연향(Juyeonhyang Brewery)은 대한민국 인천에 기반을 둔 증류식 소주 제조사입니다. 대표 제품군에는 야수 S 53 등이 포함됩니다. 제품 원료에는 쌀·고구마 등이 쓰이며, 원료 선택과 발효·증류 방식의 차이를 살려 제품별 개성을 구성하는 데 초점을 둡니다.</x:v>
      </x:c>
      <x:c r="J34" s="17" t="str">
        <x:v>농업회사법인 주식회사 주연향 (Juyeonhyang Brewery) is a distilled soju producer based in Incheon, South Korea. Its core range includes 야수 S 53. The range uses ingredients such as rice, sweet potato. Its portfolio emphasizes ingredient choice and differences in fermentation and distillation to give each expression a distinct identity.</x:v>
      </x:c>
      <x:c r="K34" s="17" t="str">
        <x:v>야수 S 53</x:v>
      </x:c>
      <x:c r="L34" s="17" t="str">
        <x:v>증류식</x:v>
      </x:c>
      <x:c r="M34" s="17" t="str">
        <x:v>2026 조사 시점 공공 카탈로그 등재와 제조사·판매 페이지를 대조</x:v>
      </x:c>
      <x:c r="N34" s="17" t="str">
        <x:v>https://thesool.com/front/find/M000000082/view.do?productId=PR00001242</x:v>
      </x:c>
      <x:c r="O34" s="17" t="str">
        <x:v>https://smartstore.naver.com/juyeonhyang</x:v>
      </x:c>
      <x:c r="P34" s="17" t="str"/>
      <x:c r="Q34" s="17" t="str">
        <x:v>B | 2개 출처 일치</x:v>
      </x:c>
      <x:c r="R34" s="17" t="str">
        <x:v>공식 설립연도 미확인</x:v>
      </x:c>
      <x:c r="S34" s="17" t="str">
        <x:v>권장 로마자 표기 — 등록 전 공식 표기 확인</x:v>
      </x:c>
      <x:c r="T34" s="17" t="str">
        <x:v>등록 가능. 설립연도·공식 영문명은 공개 근거가 없으면 빈칸/권장 표기로 유지</x:v>
      </x:c>
    </x:row>
    <x:row r="35" ht="78" customHeight="1">
      <x:c r="A35" s="17" t="str">
        <x:v>OTHER</x:v>
      </x:c>
      <x:c r="B35" s="17" t="str">
        <x:v>농업회사법인 토끼소주㈜</x:v>
      </x:c>
      <x:c r="C35" s="17" t="str">
        <x:v>Tokki Soju Co., Ltd.</x:v>
      </x:c>
      <x:c r="D35" s="17"/>
      <x:c r="E35" s="17" t="str">
        <x:v>https://tokkisoju.com/</x:v>
      </x:c>
      <x:c r="F35" s="17" t="str">
        <x:v>농업회사법인 토끼소주 (주), 농업회사법인 토끼소주, 농업회사법인 토끼소주㈜, Tokki Soju Co., Ltd., 토끼소주 블랙, 선비 보드카</x:v>
      </x:c>
      <x:c r="G35" s="17" t="str">
        <x:v>대한민국</x:v>
      </x:c>
      <x:c r="H35" s="17" t="str">
        <x:v>충청북도</x:v>
      </x:c>
      <x:c r="I35" s="17" t="str">
        <x:v>농업회사법인 토끼소주㈜(Tokki Soju Co., Ltd.)은 대한민국 충청북도에 기반을 둔 증류식 소주 제조사입니다. 대표 제품군에는 토끼소주 블랙·선비 보드카 등이 포함됩니다. 제품 원료에는 쌀·누룩·국 등이 쓰이며, 원료 선택과 발효·증류 방식의 차이를 살려 제품별 개성을 구성하는 데 초점을 둡니다.</x:v>
      </x:c>
      <x:c r="J35" s="17" t="str">
        <x:v>농업회사법인 토끼소주㈜ (Tokki Soju Co., Ltd.) is a distilled soju producer based in Chungcheongbuk-do, South Korea. Its core range includes 토끼소주 블랙, 선비 보드카. The range uses ingredients such as rice, nuruk or koji. Its portfolio emphasizes ingredient choice and differences in fermentation and distillation to give each expression a distinct identity.</x:v>
      </x:c>
      <x:c r="K35" s="17" t="str">
        <x:v>토끼소주 블랙, 선비 보드카</x:v>
      </x:c>
      <x:c r="L35" s="17" t="str">
        <x:v>증류식</x:v>
      </x:c>
      <x:c r="M35" s="17" t="str">
        <x:v>2026 조사 시점 공공 카탈로그 등재와 제조사·판매 페이지를 대조</x:v>
      </x:c>
      <x:c r="N35" s="17" t="str">
        <x:v>https://thesool.com/front/find/M000000082/view.do?productId=PR00001024</x:v>
      </x:c>
      <x:c r="O35" s="17" t="str">
        <x:v>https://tokkisoju.com/</x:v>
      </x:c>
      <x:c r="P35" s="17" t="str"/>
      <x:c r="Q35" s="17" t="str">
        <x:v>B | 2개 출처 일치</x:v>
      </x:c>
      <x:c r="R35" s="17" t="str">
        <x:v>공식 설립연도 미확인</x:v>
      </x:c>
      <x:c r="S35" s="17" t="str">
        <x:v>공식 또는 널리 쓰이는 영문 표기</x:v>
      </x:c>
      <x:c r="T35" s="17" t="str">
        <x:v>등록 가능. 설립연도·공식 영문명은 공개 근거가 없으면 빈칸/권장 표기로 유지</x:v>
      </x:c>
    </x:row>
    <x:row r="36" ht="78" customHeight="1">
      <x:c r="A36" s="17" t="str">
        <x:v>OTHER</x:v>
      </x:c>
      <x:c r="B36" s="17" t="str">
        <x:v>대작영농조합법인</x:v>
      </x:c>
      <x:c r="C36" s="17" t="str">
        <x:v>Daejak Brewery</x:v>
      </x:c>
      <x:c r="D36" s="17"/>
      <x:c r="E36" s="17" t="str">
        <x:v>https://blog.naver.com/daejak_ricewine</x:v>
      </x:c>
      <x:c r="F36" s="17" t="str">
        <x:v>대작영농조합법인, Daejak Brewery, 모을동주 소주, 모을동주소주</x:v>
      </x:c>
      <x:c r="G36" s="17" t="str">
        <x:v>대한민국</x:v>
      </x:c>
      <x:c r="H36" s="17" t="str">
        <x:v>강원도</x:v>
      </x:c>
      <x:c r="I36" s="17" t="str">
        <x:v>대작영농조합법인(Daejak Brewery)은 대한민국 강원도에 기반을 둔 증류식 소주 제조사입니다. 대표 제품군에는 모을동주 소주·모을동주소주 등이 포함됩니다. 제품 원료에는 쌀·밀 등이 쓰이며, 원료 선택과 발효·증류 방식의 차이를 살려 제품별 개성을 구성하는 데 초점을 둡니다.</x:v>
      </x:c>
      <x:c r="J36" s="17" t="str">
        <x:v>대작영농조합법인 (Daejak Brewery) is a distilled soju producer based in Gangwon-do, South Korea. Its core range includes 모을동주 소주, 모을동주소주. The range uses ingredients such as rice, wheat. Its portfolio emphasizes ingredient choice and differences in fermentation and distillation to give each expression a distinct identity.</x:v>
      </x:c>
      <x:c r="K36" s="17" t="str">
        <x:v>모을동주 소주, 모을동주소주</x:v>
      </x:c>
      <x:c r="L36" s="17" t="str">
        <x:v>증류식</x:v>
      </x:c>
      <x:c r="M36" s="17" t="str">
        <x:v>2026 조사 시점 공공 카탈로그 등재와 제조사·판매 페이지를 대조</x:v>
      </x:c>
      <x:c r="N36" s="17" t="str">
        <x:v>https://thesool.com/front/find/M000000082/view.do?productId=PR00001162</x:v>
      </x:c>
      <x:c r="O36" s="17" t="str">
        <x:v>https://blog.naver.com/daejak_ricewine</x:v>
      </x:c>
      <x:c r="P36" s="17" t="str">
        <x:v>https://i.nts.go.kr/llsc/na/ntt/selectNttList.do?bbsId=22830&amp;mi=1511</x:v>
      </x:c>
      <x:c r="Q36" s="17" t="str">
        <x:v>B | 2개 출처 일치</x:v>
      </x:c>
      <x:c r="R36" s="17" t="str">
        <x:v>공식 설립연도 미확인</x:v>
      </x:c>
      <x:c r="S36" s="17" t="str">
        <x:v>권장 로마자 표기 — 등록 전 공식 표기 확인</x:v>
      </x:c>
      <x:c r="T36" s="17" t="str">
        <x:v>등록 가능. 설립연도·공식 영문명은 공개 근거가 없으면 빈칸/권장 표기로 유지</x:v>
      </x:c>
    </x:row>
    <x:row r="37" ht="78" customHeight="1">
      <x:c r="A37" s="17" t="str">
        <x:v>OTHER</x:v>
      </x:c>
      <x:c r="B37" s="17" t="str">
        <x:v>맹개술도가</x:v>
      </x:c>
      <x:c r="C37" s="17" t="str">
        <x:v>Maenggaesuldoga Brewery</x:v>
      </x:c>
      <x:c r="D37" s="17"/>
      <x:c r="E37" s="17" t="str">
        <x:v>https://3d.co.kr/mgsdg/</x:v>
      </x:c>
      <x:c r="F37" s="17" t="str">
        <x:v>맹개술도가, Maenggaesuldoga Brewery, 안동 진맥 소주</x:v>
      </x:c>
      <x:c r="G37" s="17" t="str">
        <x:v>대한민국</x:v>
      </x:c>
      <x:c r="H37" s="17" t="str">
        <x:v>경상북도</x:v>
      </x:c>
      <x:c r="I37" s="17" t="str">
        <x:v>맹개술도가(Maenggaesuldoga Brewery)은 대한민국 경상북도에 기반을 둔 증류식 소주 제조사입니다. 대표 제품군에는 안동 진맥 소주 등이 포함됩니다. 제품 원료에는 밀 등이 쓰이며, 원료 선택과 발효·증류 방식의 차이를 살려 제품별 개성을 구성하는 데 초점을 둡니다.</x:v>
      </x:c>
      <x:c r="J37" s="17" t="str">
        <x:v>맹개술도가 (Maenggaesuldoga Brewery) is a distilled soju producer based in Gyeongsangbuk-do, South Korea. Its core range includes 안동 진맥 소주. The range uses ingredients such as wheat. Its portfolio emphasizes ingredient choice and differences in fermentation and distillation to give each expression a distinct identity.</x:v>
      </x:c>
      <x:c r="K37" s="17" t="str">
        <x:v>안동 진맥 소주</x:v>
      </x:c>
      <x:c r="L37" s="17" t="str">
        <x:v>증류식</x:v>
      </x:c>
      <x:c r="M37" s="17" t="str">
        <x:v>2026 조사 시점 공공 카탈로그 등재와 제조사·판매 페이지를 대조</x:v>
      </x:c>
      <x:c r="N37" s="17" t="str">
        <x:v>https://thesool.com/front/find/M000000082/view.do?productId=PR00001319</x:v>
      </x:c>
      <x:c r="O37" s="17" t="str">
        <x:v>https://3d.co.kr/mgsdg/</x:v>
      </x:c>
      <x:c r="P37" s="17" t="str"/>
      <x:c r="Q37" s="17" t="str">
        <x:v>B | 2개 출처 일치</x:v>
      </x:c>
      <x:c r="R37" s="17" t="str">
        <x:v>공식 설립연도 미확인</x:v>
      </x:c>
      <x:c r="S37" s="17" t="str">
        <x:v>권장 로마자 표기 — 등록 전 공식 표기 확인</x:v>
      </x:c>
      <x:c r="T37" s="17" t="str">
        <x:v>등록 가능. 설립연도·공식 영문명은 공개 근거가 없으면 빈칸/권장 표기로 유지</x:v>
      </x:c>
    </x:row>
    <x:row r="38" ht="78" customHeight="1">
      <x:c r="A38" s="17" t="str">
        <x:v>OTHER</x:v>
      </x:c>
      <x:c r="B38" s="17" t="str">
        <x:v>명인안동소주</x:v>
      </x:c>
      <x:c r="C38" s="17" t="str">
        <x:v>Master Andong Soju</x:v>
      </x:c>
      <x:c r="D38" s="17"/>
      <x:c r="E38" s="17" t="str">
        <x:v>http://www.adsoju.com/</x:v>
      </x:c>
      <x:c r="F38" s="17" t="str">
        <x:v>명인안동소주, Master Andong Soju, 명인 안동소주 양반탈, 명인 안동소주 22%, 명인안동소주 35%, 명인안동소주/22도, 명인안동소주/45도</x:v>
      </x:c>
      <x:c r="G38" s="17" t="str">
        <x:v>대한민국</x:v>
      </x:c>
      <x:c r="H38" s="17" t="str">
        <x:v>경상북도</x:v>
      </x:c>
      <x:c r="I38" s="17" t="str">
        <x:v>명인안동소주(Master Andong Soju)은 대한민국 경상북도에 기반을 둔 증류식 소주 제조사입니다. 대표 제품군에는 명인 안동소주 양반탈·명인 안동소주 22%·명인안동소주 35%·명인안동소주/22도·명인안동소주/45도 등이 포함됩니다. 제품 원료에는 쌀·누룩·국 등이 쓰이며, 원료 선택과 발효·증류 방식의 차이를 살려 제품별 개성을 구성하는 데 초점을 둡니다.</x:v>
      </x:c>
      <x:c r="J38" s="17" t="str">
        <x:v>명인안동소주 (Master Andong Soju) is a distilled soju producer based in Gyeongsangbuk-do, South Korea. Its core range includes 명인 안동소주 양반탈, 명인 안동소주 22%, 명인안동소주 35%, 명인안동소주/22도, 명인안동소주/45도. The range uses ingredients such as rice, nuruk or koji. Its portfolio emphasizes ingredient choice and differences in fermentation and distillation to give each expression a distinct identity.</x:v>
      </x:c>
      <x:c r="K38" s="17" t="str">
        <x:v>명인 안동소주 양반탈, 명인 안동소주 22%, 명인안동소주 35%, 명인안동소주/22도, 명인안동소주/45도</x:v>
      </x:c>
      <x:c r="L38" s="17" t="str">
        <x:v>증류식</x:v>
      </x:c>
      <x:c r="M38" s="17" t="str">
        <x:v>2026 조사 시점 공공 카탈로그 등재와 제조사·판매 페이지를 대조</x:v>
      </x:c>
      <x:c r="N38" s="17" t="str">
        <x:v>https://thesool.com/front/find/M000000082/view.do?productId=PR00000493</x:v>
      </x:c>
      <x:c r="O38" s="17" t="str">
        <x:v>http://www.adsoju.com/</x:v>
      </x:c>
      <x:c r="P38" s="17" t="str">
        <x:v>https://i.nts.go.kr/llsc/na/ntt/selectNttList.do?bbsId=22830&amp;mi=1511</x:v>
      </x:c>
      <x:c r="Q38" s="17" t="str">
        <x:v>B | 2개 출처 일치</x:v>
      </x:c>
      <x:c r="R38" s="17" t="str">
        <x:v>공식 설립연도 미확인</x:v>
      </x:c>
      <x:c r="S38" s="17" t="str">
        <x:v>공식 또는 널리 쓰이는 영문 표기</x:v>
      </x:c>
      <x:c r="T38" s="17" t="str">
        <x:v>등록 가능. 설립연도·공식 영문명은 공개 근거가 없으면 빈칸/권장 표기로 유지</x:v>
      </x:c>
    </x:row>
    <x:row r="39" ht="78" customHeight="1">
      <x:c r="A39" s="17" t="str">
        <x:v>OTHER</x:v>
      </x:c>
      <x:c r="B39" s="17" t="str">
        <x:v>문배주양조원</x:v>
      </x:c>
      <x:c r="C39" s="17" t="str">
        <x:v>Moonbaesool Brewery</x:v>
      </x:c>
      <x:c r="D39" s="17"/>
      <x:c r="E39" s="17" t="str">
        <x:v>https://www.moonbaesool.co.kr/</x:v>
      </x:c>
      <x:c r="F39" s="17" t="str">
        <x:v>문배주양조원, Moonbaesool Brewery, 문배주 용상, 문배술, 문배술 헤리티지 40도, 문배술 천향, 문배술 명작, 문배술 용상, 문배술 호리병</x:v>
      </x:c>
      <x:c r="G39" s="17" t="str">
        <x:v>대한민국</x:v>
      </x:c>
      <x:c r="H39" s="17" t="str">
        <x:v>경기도</x:v>
      </x:c>
      <x:c r="I39" s="17" t="str">
        <x:v>문배주양조원(Moonbaesool Brewery)은 대한민국 경기도에 기반을 둔 증류식 소주 제조사입니다. 대표 제품군에는 문배주 용상·문배술·문배술 헤리티지 40도·문배술 천향·문배술 명작·문배술 용상·문배술 호리병 등이 포함됩니다. 제품 원료에는 쌀 등이 쓰이며, 원료 선택과 발효·증류 방식의 차이를 살려 제품별 개성을 구성하는 데 초점을 둡니다.</x:v>
      </x:c>
      <x:c r="J39" s="17" t="str">
        <x:v>문배주양조원 (Moonbaesool Brewery) is a distilled soju producer based in Gyeonggi-do, South Korea. Its core range includes 문배주 용상, 문배술, 문배술 헤리티지 40도, 문배술 천향, 문배술 명작, 문배술 용상, 문배술 호리병. The range uses ingredients such as rice. Its portfolio emphasizes ingredient choice and differences in fermentation and distillation to give each expression a distinct identity.</x:v>
      </x:c>
      <x:c r="K39" s="17" t="str">
        <x:v>문배주 용상, 문배술, 문배술 헤리티지 40도, 문배술 천향, 문배술 명작, 문배술 용상, 문배술 호리병</x:v>
      </x:c>
      <x:c r="L39" s="17" t="str">
        <x:v>증류식</x:v>
      </x:c>
      <x:c r="M39" s="17" t="str">
        <x:v>2026 조사 시점 공공 카탈로그 등재와 제조사·판매 페이지를 대조</x:v>
      </x:c>
      <x:c r="N39" s="17" t="str">
        <x:v>https://thesool.com/front/find/M000000082/view.do?productId=PR00001354</x:v>
      </x:c>
      <x:c r="O39" s="17" t="str">
        <x:v>https://www.moonbaesool.co.kr/</x:v>
      </x:c>
      <x:c r="P39" s="17" t="str">
        <x:v>https://i.nts.go.kr/llsc/na/ntt/selectNttList.do?bbsId=22830&amp;mi=1511</x:v>
      </x:c>
      <x:c r="Q39" s="17" t="str">
        <x:v>B | 2개 출처 일치</x:v>
      </x:c>
      <x:c r="R39" s="17" t="str">
        <x:v>공식 설립연도 미확인</x:v>
      </x:c>
      <x:c r="S39" s="17" t="str">
        <x:v>공식 또는 널리 쓰이는 영문 표기</x:v>
      </x:c>
      <x:c r="T39" s="17" t="str">
        <x:v>등록 가능. 설립연도·공식 영문명은 공개 근거가 없으면 빈칸/권장 표기로 유지</x:v>
      </x:c>
    </x:row>
    <x:row r="40" ht="78" customHeight="1">
      <x:c r="A40" s="17" t="str">
        <x:v>OTHER</x:v>
      </x:c>
      <x:c r="B40" s="17" t="str">
        <x:v>미음넷증류소</x:v>
      </x:c>
      <x:c r="C40" s="17" t="str">
        <x:v>Fourmieum Distillery</x:v>
      </x:c>
      <x:c r="D40" s="17"/>
      <x:c r="E40" s="17" t="str">
        <x:v>https://smartstore.naver.com/fourmieum</x:v>
      </x:c>
      <x:c r="F40" s="17" t="str">
        <x:v>미음넷증류소, Fourmieum Distillery, 소주다움 45, 소주다움27</x:v>
      </x:c>
      <x:c r="G40" s="17" t="str">
        <x:v>대한민국</x:v>
      </x:c>
      <x:c r="H40" s="17" t="str">
        <x:v>경기도</x:v>
      </x:c>
      <x:c r="I40" s="17" t="str">
        <x:v>미음넷증류소(Fourmieum Distillery)은 대한민국 경기도에 기반을 둔 증류식 소주 제조사입니다. 대표 제품군에는 소주다움 45·소주다움27 등이 포함됩니다. 제품 원료에는 쌀 등이 쓰이며, 원료 선택과 발효·증류 방식의 차이를 살려 제품별 개성을 구성하는 데 초점을 둡니다.</x:v>
      </x:c>
      <x:c r="J40" s="17" t="str">
        <x:v>미음넷증류소 (Fourmieum Distillery) is a distilled soju producer based in Gyeonggi-do, South Korea. Its core range includes 소주다움 45, 소주다움27. The range uses ingredients such as rice. Its portfolio emphasizes ingredient choice and differences in fermentation and distillation to give each expression a distinct identity.</x:v>
      </x:c>
      <x:c r="K40" s="17" t="str">
        <x:v>소주다움 45, 소주다움27</x:v>
      </x:c>
      <x:c r="L40" s="17" t="str">
        <x:v>증류식</x:v>
      </x:c>
      <x:c r="M40" s="17" t="str">
        <x:v>2026 조사 시점 공공 카탈로그 등재와 제조사·판매 페이지를 대조</x:v>
      </x:c>
      <x:c r="N40" s="17" t="str">
        <x:v>https://thesool.com/front/find/M000000082/view.do?productId=PR00001324</x:v>
      </x:c>
      <x:c r="O40" s="17" t="str">
        <x:v>https://smartstore.naver.com/fourmieum</x:v>
      </x:c>
      <x:c r="P40" s="17" t="str"/>
      <x:c r="Q40" s="17" t="str">
        <x:v>B | 2개 출처 일치</x:v>
      </x:c>
      <x:c r="R40" s="17" t="str">
        <x:v>공식 설립연도 미확인</x:v>
      </x:c>
      <x:c r="S40" s="17" t="str">
        <x:v>공식 또는 널리 쓰이는 영문 표기</x:v>
      </x:c>
      <x:c r="T40" s="17" t="str">
        <x:v>등록 가능. 설립연도·공식 영문명은 공개 근거가 없으면 빈칸/권장 표기로 유지</x:v>
      </x:c>
    </x:row>
    <x:row r="41" ht="78" customHeight="1">
      <x:c r="A41" s="17" t="str">
        <x:v>OTHER</x:v>
      </x:c>
      <x:c r="B41" s="17" t="str">
        <x:v>밀과노닐다</x:v>
      </x:c>
      <x:c r="C41" s="17" t="str">
        <x:v>Milgwanonilda Brewery</x:v>
      </x:c>
      <x:c r="D41" s="17"/>
      <x:c r="E41" s="17" t="str">
        <x:v>https://www.jinmaek.co/</x:v>
      </x:c>
      <x:c r="F41" s="17" t="str">
        <x:v>밀과노닐다, Milgwanonilda Brewery, 진맥소주 오크40%, 시인의 바위, 진맥소주 시인의바위, 진맥소주</x:v>
      </x:c>
      <x:c r="G41" s="17" t="str">
        <x:v>대한민국</x:v>
      </x:c>
      <x:c r="H41" s="17" t="str">
        <x:v>경상북도</x:v>
      </x:c>
      <x:c r="I41" s="17" t="str">
        <x:v>밀과노닐다(Milgwanonilda Brewery)은 대한민국 경상북도에 기반을 둔 증류식 소주 제조사입니다. 대표 제품군에는 진맥소주 오크40%·시인의 바위·진맥소주 시인의바위·진맥소주 등이 포함됩니다. 제품 원료에는 밀 등이 쓰이며, 원료 선택과 발효·증류 방식의 차이를 살려 제품별 개성을 구성하는 데 초점을 둡니다.</x:v>
      </x:c>
      <x:c r="J41" s="17" t="str">
        <x:v>밀과노닐다 (Milgwanonilda Brewery) is a distilled soju producer based in Gyeongsangbuk-do, South Korea. Its core range includes 진맥소주 오크40%, 시인의 바위, 진맥소주 시인의바위, 진맥소주. The range uses ingredients such as wheat. Its portfolio emphasizes ingredient choice and differences in fermentation and distillation to give each expression a distinct identity.</x:v>
      </x:c>
      <x:c r="K41" s="17" t="str">
        <x:v>진맥소주 오크40%, 시인의 바위, 진맥소주 시인의바위, 진맥소주</x:v>
      </x:c>
      <x:c r="L41" s="17" t="str">
        <x:v>증류식</x:v>
      </x:c>
      <x:c r="M41" s="17" t="str">
        <x:v>2026 조사 시점 공공 카탈로그 등재와 제조사·판매 페이지를 대조</x:v>
      </x:c>
      <x:c r="N41" s="17" t="str">
        <x:v>https://thesool.com/front/find/M000000082/view.do?productId=PR00001357</x:v>
      </x:c>
      <x:c r="O41" s="17" t="str">
        <x:v>https://www.jinmaek.co/</x:v>
      </x:c>
      <x:c r="P41" s="17" t="str"/>
      <x:c r="Q41" s="17" t="str">
        <x:v>B | 2개 출처 일치</x:v>
      </x:c>
      <x:c r="R41" s="17" t="str">
        <x:v>공식 설립연도 미확인</x:v>
      </x:c>
      <x:c r="S41" s="17" t="str">
        <x:v>권장 로마자 표기 — 등록 전 공식 표기 확인</x:v>
      </x:c>
      <x:c r="T41" s="17" t="str">
        <x:v>등록 가능. 설립연도·공식 영문명은 공개 근거가 없으면 빈칸/권장 표기로 유지</x:v>
      </x:c>
    </x:row>
    <x:row r="42" ht="78" customHeight="1">
      <x:c r="A42" s="17" t="str">
        <x:v>OTHER</x:v>
      </x:c>
      <x:c r="B42" s="17" t="str">
        <x:v>밝은세상영농조합</x:v>
      </x:c>
      <x:c r="C42" s="17" t="str">
        <x:v>Balkeunsesangyeongnongjohap Brewery</x:v>
      </x:c>
      <x:c r="D42" s="17"/>
      <x:c r="E42" s="17" t="str">
        <x:v>https://www.instagram.com/tigercalyx/?hl=ko</x:v>
      </x:c>
      <x:c r="F42" s="17" t="str">
        <x:v>밝은세상영농조합, Balkeunsesangyeongnongjohap Brewery, 소호</x:v>
      </x:c>
      <x:c r="G42" s="17" t="str">
        <x:v>대한민국</x:v>
      </x:c>
      <x:c r="H42" s="17" t="str">
        <x:v>경기도</x:v>
      </x:c>
      <x:c r="I42" s="17" t="str">
        <x:v>밝은세상영농조합(Balkeunsesangyeongnongjohap Brewery)은 대한민국 경기도에 기반을 둔 증류식 소주 제조사입니다. 대표 제품군에는 소호 등이 포함됩니다. 제품 원료에는 쌀·누룩·국 등이 쓰이며, 원료 선택과 발효·증류 방식의 차이를 살려 제품별 개성을 구성하는 데 초점을 둡니다.</x:v>
      </x:c>
      <x:c r="J42" s="17" t="str">
        <x:v>밝은세상영농조합 (Balkeunsesangyeongnongjohap Brewery) is a distilled soju producer based in Gyeonggi-do, South Korea. Its core range includes 소호. The range uses ingredients such as rice, nuruk or koji. Its portfolio emphasizes ingredient choice and differences in fermentation and distillation to give each expression a distinct identity.</x:v>
      </x:c>
      <x:c r="K42" s="17" t="str">
        <x:v>소호</x:v>
      </x:c>
      <x:c r="L42" s="17" t="str">
        <x:v>증류식</x:v>
      </x:c>
      <x:c r="M42" s="17" t="str">
        <x:v>2026 조사 시점 공공 카탈로그 등재와 제조사·판매 페이지를 대조</x:v>
      </x:c>
      <x:c r="N42" s="17" t="str">
        <x:v>https://thesool.com/front/find/M000000082/view.do?productId=PR00000566</x:v>
      </x:c>
      <x:c r="O42" s="17" t="str">
        <x:v>https://www.instagram.com/tigercalyx/?hl=ko</x:v>
      </x:c>
      <x:c r="P42" s="17" t="str"/>
      <x:c r="Q42" s="17" t="str">
        <x:v>B | 2개 출처 일치</x:v>
      </x:c>
      <x:c r="R42" s="17" t="str">
        <x:v>공식 설립연도 미확인</x:v>
      </x:c>
      <x:c r="S42" s="17" t="str">
        <x:v>권장 로마자 표기 — 등록 전 공식 표기 확인</x:v>
      </x:c>
      <x:c r="T42" s="17" t="str">
        <x:v>등록 가능. 설립연도·공식 영문명은 공개 근거가 없으면 빈칸/권장 표기로 유지</x:v>
      </x:c>
    </x:row>
    <x:row r="43" ht="78" customHeight="1">
      <x:c r="A43" s="17" t="str">
        <x:v>OTHER</x:v>
      </x:c>
      <x:c r="B43" s="17" t="str">
        <x:v>배상면주가</x:v>
      </x:c>
      <x:c r="C43" s="17" t="str">
        <x:v>Baesangmyeonjuga Brewery</x:v>
      </x:c>
      <x:c r="D43" s="17"/>
      <x:c r="E43" s="17" t="str">
        <x:v>https://www.soolsool.co.kr/</x:v>
      </x:c>
      <x:c r="F43" s="17" t="str">
        <x:v>배상면주가, Baesangmyeonjuga Brewery, 느린마을소주21, 감아락 25</x:v>
      </x:c>
      <x:c r="G43" s="17" t="str">
        <x:v>대한민국</x:v>
      </x:c>
      <x:c r="H43" s="17" t="str">
        <x:v>경기도</x:v>
      </x:c>
      <x:c r="I43" s="17" t="str">
        <x:v>배상면주가(Baesangmyeonjuga Brewery)은 대한민국 경기도에 기반을 둔 증류식 소주 제조사입니다. 대표 제품군에는 느린마을소주21·감아락 25 등이 포함됩니다. 제품 원료에는 쌀 등이 쓰이며, 원료 선택과 발효·증류 방식의 차이를 살려 제품별 개성을 구성하는 데 초점을 둡니다.</x:v>
      </x:c>
      <x:c r="J43" s="17" t="str">
        <x:v>배상면주가 (Baesangmyeonjuga Brewery) is a distilled soju producer based in Gyeonggi-do, South Korea. Its core range includes 느린마을소주21, 감아락 25. The range uses ingredients such as rice. Its portfolio emphasizes ingredient choice and differences in fermentation and distillation to give each expression a distinct identity.</x:v>
      </x:c>
      <x:c r="K43" s="17" t="str">
        <x:v>느린마을소주21, 감아락 25</x:v>
      </x:c>
      <x:c r="L43" s="17" t="str">
        <x:v>증류식</x:v>
      </x:c>
      <x:c r="M43" s="17" t="str">
        <x:v>2026 조사 시점 공공 카탈로그 등재와 제조사·판매 페이지를 대조</x:v>
      </x:c>
      <x:c r="N43" s="17" t="str">
        <x:v>https://thesool.com/front/find/M000000082/view.do?productId=PR00000514</x:v>
      </x:c>
      <x:c r="O43" s="17" t="str">
        <x:v>https://www.soolsool.co.kr/</x:v>
      </x:c>
      <x:c r="P43" s="17" t="str"/>
      <x:c r="Q43" s="17" t="str">
        <x:v>B | 2개 출처 일치</x:v>
      </x:c>
      <x:c r="R43" s="17" t="str">
        <x:v>공식 설립연도 미확인</x:v>
      </x:c>
      <x:c r="S43" s="17" t="str">
        <x:v>권장 로마자 표기 — 등록 전 공식 표기 확인</x:v>
      </x:c>
      <x:c r="T43" s="17" t="str">
        <x:v>등록 가능. 설립연도·공식 영문명은 공개 근거가 없으면 빈칸/권장 표기로 유지</x:v>
      </x:c>
    </x:row>
    <x:row r="44" ht="78" customHeight="1">
      <x:c r="A44" s="17" t="str">
        <x:v>OTHER</x:v>
      </x:c>
      <x:c r="B44" s="17" t="str">
        <x:v>병영양조장</x:v>
      </x:c>
      <x:c r="C44" s="17" t="str">
        <x:v>Byeongyeongyangjojang Brewery</x:v>
      </x:c>
      <x:c r="D44" s="17"/>
      <x:c r="E44" s="17" t="str">
        <x:v>http://www.byjujo.co.kr/</x:v>
      </x:c>
      <x:c r="F44" s="17" t="str">
        <x:v>병영양조장, Byeongyeongyangjojang Brewery, 병영소주</x:v>
      </x:c>
      <x:c r="G44" s="17" t="str">
        <x:v>대한민국</x:v>
      </x:c>
      <x:c r="H44" s="17" t="str">
        <x:v>전라남도</x:v>
      </x:c>
      <x:c r="I44" s="17" t="str">
        <x:v>병영양조장(Byeongyeongyangjojang Brewery)은 대한민국 전라남도에 기반을 둔 증류식 소주 제조사입니다. 대표 제품군에는 병영소주 등이 포함됩니다. 제품 원료에는 보리 등이 쓰이며, 원료 선택과 발효·증류 방식의 차이를 살려 제품별 개성을 구성하는 데 초점을 둡니다.</x:v>
      </x:c>
      <x:c r="J44" s="17" t="str">
        <x:v>병영양조장 (Byeongyeongyangjojang Brewery) is a distilled soju producer based in Jeollanam-do, South Korea. Its core range includes 병영소주. The range uses ingredients such as barley. Its portfolio emphasizes ingredient choice and differences in fermentation and distillation to give each expression a distinct identity.</x:v>
      </x:c>
      <x:c r="K44" s="17" t="str">
        <x:v>병영소주</x:v>
      </x:c>
      <x:c r="L44" s="17" t="str">
        <x:v>증류식</x:v>
      </x:c>
      <x:c r="M44" s="17" t="str">
        <x:v>2026 조사 시점 공공 카탈로그 등재와 제조사·판매 페이지를 대조</x:v>
      </x:c>
      <x:c r="N44" s="17" t="str">
        <x:v>https://thesool.com/front/find/M000000082/view.do?productId=PR00001136</x:v>
      </x:c>
      <x:c r="O44" s="17" t="str">
        <x:v>http://www.byjujo.co.kr/</x:v>
      </x:c>
      <x:c r="P44" s="17" t="str">
        <x:v>https://i.nts.go.kr/llsc/na/ntt/selectNttList.do?bbsId=22830&amp;mi=1511</x:v>
      </x:c>
      <x:c r="Q44" s="17" t="str">
        <x:v>B | 2개 출처 일치</x:v>
      </x:c>
      <x:c r="R44" s="17" t="str">
        <x:v>공식 설립연도 미확인</x:v>
      </x:c>
      <x:c r="S44" s="17" t="str">
        <x:v>권장 로마자 표기 — 등록 전 공식 표기 확인</x:v>
      </x:c>
      <x:c r="T44" s="17" t="str">
        <x:v>등록 가능. 설립연도·공식 영문명은 공개 근거가 없으면 빈칸/권장 표기로 유지</x:v>
      </x:c>
    </x:row>
    <x:row r="45" ht="78" customHeight="1">
      <x:c r="A45" s="17" t="str">
        <x:v>OTHER</x:v>
      </x:c>
      <x:c r="B45" s="17" t="str">
        <x:v>술도가제주바당</x:v>
      </x:c>
      <x:c r="C45" s="17" t="str">
        <x:v>Suldogajejubadang Brewery</x:v>
      </x:c>
      <x:c r="D45" s="17"/>
      <x:c r="E45" s="17" t="str">
        <x:v>https://jejudoga.modoo.at/</x:v>
      </x:c>
      <x:c r="F45" s="17" t="str">
        <x:v>술도가제주바당, Suldogajejubadang Brewery, 제주낭만</x:v>
      </x:c>
      <x:c r="G45" s="17" t="str">
        <x:v>대한민국</x:v>
      </x:c>
      <x:c r="H45" s="17" t="str">
        <x:v>제주도</x:v>
      </x:c>
      <x:c r="I45" s="17" t="str">
        <x:v>술도가제주바당(Suldogajejubadang Brewery)은 대한민국 제주도에 기반을 둔 증류식 소주 제조사입니다. 대표 제품군에는 제주낭만 등이 포함됩니다. 제품 원료에는 쌀 등이 쓰이며, 원료 선택과 발효·증류 방식의 차이를 살려 제품별 개성을 구성하는 데 초점을 둡니다.</x:v>
      </x:c>
      <x:c r="J45" s="17" t="str">
        <x:v>술도가제주바당 (Suldogajejubadang Brewery) is a distilled soju producer based in Jeju-do, South Korea. Its core range includes 제주낭만. The range uses ingredients such as rice. Its portfolio emphasizes ingredient choice and differences in fermentation and distillation to give each expression a distinct identity.</x:v>
      </x:c>
      <x:c r="K45" s="17" t="str">
        <x:v>제주낭만</x:v>
      </x:c>
      <x:c r="L45" s="17" t="str">
        <x:v>증류식</x:v>
      </x:c>
      <x:c r="M45" s="17" t="str">
        <x:v>2026 조사 시점 공공 카탈로그 등재와 제조사·판매 페이지를 대조</x:v>
      </x:c>
      <x:c r="N45" s="17" t="str">
        <x:v>https://thesool.com/front/find/M000000082/view.do?productId=PR00000519</x:v>
      </x:c>
      <x:c r="O45" s="17" t="str">
        <x:v>https://jejudoga.modoo.at/</x:v>
      </x:c>
      <x:c r="P45" s="17" t="str"/>
      <x:c r="Q45" s="17" t="str">
        <x:v>B | 2개 출처 일치</x:v>
      </x:c>
      <x:c r="R45" s="17" t="str">
        <x:v>공식 설립연도 미확인</x:v>
      </x:c>
      <x:c r="S45" s="17" t="str">
        <x:v>권장 로마자 표기 — 등록 전 공식 표기 확인</x:v>
      </x:c>
      <x:c r="T45" s="17" t="str">
        <x:v>등록 가능. 설립연도·공식 영문명은 공개 근거가 없으면 빈칸/권장 표기로 유지</x:v>
      </x:c>
    </x:row>
    <x:row r="46" ht="78" customHeight="1">
      <x:c r="A46" s="17" t="str">
        <x:v>OTHER</x:v>
      </x:c>
      <x:c r="B46" s="17" t="str">
        <x:v>술샘</x:v>
      </x:c>
      <x:c r="C46" s="17" t="str">
        <x:v>Soolseam</x:v>
      </x:c>
      <x:c r="D46" s="17" t="n">
        <x:v>2012</x:v>
      </x:c>
      <x:c r="E46" s="17" t="str">
        <x:v>http://www.sulseam.com/</x:v>
      </x:c>
      <x:c r="F46" s="17" t="str">
        <x:v>술샘, (주)술샘, Soolseam, 미르, 미르25, 미르54</x:v>
      </x:c>
      <x:c r="G46" s="17" t="str">
        <x:v>대한민국</x:v>
      </x:c>
      <x:c r="H46" s="17" t="str">
        <x:v>경기도</x:v>
      </x:c>
      <x:c r="I46" s="17" t="str">
        <x:v>술샘(Soolseam)은 대한민국 경기도에 기반을 둔 증류식 소주 제조사입니다. 2012년부터 이어진 연혁을 바탕으로 대표 제품군에는 미르·미르25·미르54 등이 포함됩니다. 제품 원료에는 쌀·밀·누룩·국 등이 쓰이며, 원료 선택과 발효·증류 방식의 차이를 살려 제품별 개성을 구성하는 데 초점을 둡니다.</x:v>
      </x:c>
      <x:c r="J46" s="17" t="str">
        <x:v>술샘 (Soolseam) is a distilled soju producer based in Gyeonggi-do, South Korea. Its history dates to 2012. Its core range includes 미르, 미르25, 미르54. The range uses ingredients such as rice, wheat, nuruk or koji. Its portfolio emphasizes ingredient choice and differences in fermentation and distillation to give each expression a distinct identity.</x:v>
      </x:c>
      <x:c r="K46" s="17" t="str">
        <x:v>미르, 미르25, 미르54</x:v>
      </x:c>
      <x:c r="L46" s="17" t="str">
        <x:v>증류식</x:v>
      </x:c>
      <x:c r="M46" s="17" t="str">
        <x:v>2026 조사 시점 공공 카탈로그 등재와 제조사·판매 페이지를 대조</x:v>
      </x:c>
      <x:c r="N46" s="17" t="str">
        <x:v>https://thesool.com/front/find/M000000082/view.do?productId=PR00000567</x:v>
      </x:c>
      <x:c r="O46" s="17" t="str">
        <x:v>http://www.sulseam.com/</x:v>
      </x:c>
      <x:c r="P46" s="17" t="str">
        <x:v>https://i.nts.go.kr/llsc/na/ntt/selectNttList.do?bbsId=22830&amp;mi=1511</x:v>
      </x:c>
      <x:c r="Q46" s="17" t="str">
        <x:v>B | 2개 출처 일치</x:v>
      </x:c>
      <x:c r="R46" s="17" t="str">
        <x:v>공개 연혁 기준</x:v>
      </x:c>
      <x:c r="S46" s="17" t="str">
        <x:v>공식 또는 널리 쓰이는 영문 표기</x:v>
      </x:c>
      <x:c r="T46" s="17" t="str">
        <x:v>등록 가능. 설립연도·공식 영문명은 공개 근거가 없으면 빈칸/권장 표기로 유지</x:v>
      </x:c>
    </x:row>
    <x:row r="47" ht="78" customHeight="1">
      <x:c r="A47" s="17" t="str">
        <x:v>OTHER</x:v>
      </x:c>
      <x:c r="B47" s="17" t="str">
        <x:v>안동소주일품</x:v>
      </x:c>
      <x:c r="C47" s="17" t="str">
        <x:v>Ilpoom Andong Soju</x:v>
      </x:c>
      <x:c r="D47" s="17"/>
      <x:c r="E47" s="17" t="str">
        <x:v>http://www.ilpoomsoju.com/</x:v>
      </x:c>
      <x:c r="F47" s="17" t="str">
        <x:v>안동소주일품, Ilpoom Andong Soju, 안동소주 일품 17도, 안동소주 일품 21도</x:v>
      </x:c>
      <x:c r="G47" s="17" t="str">
        <x:v>대한민국</x:v>
      </x:c>
      <x:c r="H47" s="17" t="str">
        <x:v>경상북도</x:v>
      </x:c>
      <x:c r="I47" s="17" t="str">
        <x:v>안동소주일품(Ilpoom Andong Soju)은 대한민국 경상북도에 기반을 둔 증류식 소주 제조사입니다. 대표 제품군에는 안동소주 일품 17도·안동소주 일품 21도 등이 포함됩니다. 제품 원료에는 쌀 등이 쓰이며, 원료 선택과 발효·증류 방식의 차이를 살려 제품별 개성을 구성하는 데 초점을 둡니다.</x:v>
      </x:c>
      <x:c r="J47" s="17" t="str">
        <x:v>안동소주일품 (Ilpoom Andong Soju) is a distilled soju producer based in Gyeongsangbuk-do, South Korea. Its core range includes 안동소주 일품 17도, 안동소주 일품 21도. The range uses ingredients such as rice. Its portfolio emphasizes ingredient choice and differences in fermentation and distillation to give each expression a distinct identity.</x:v>
      </x:c>
      <x:c r="K47" s="17" t="str">
        <x:v>안동소주 일품 17도, 안동소주 일품 21도</x:v>
      </x:c>
      <x:c r="L47" s="17" t="str">
        <x:v>증류식</x:v>
      </x:c>
      <x:c r="M47" s="17" t="str">
        <x:v>2026 조사 시점 공공 카탈로그 등재와 제조사·판매 페이지를 대조</x:v>
      </x:c>
      <x:c r="N47" s="17" t="str">
        <x:v>https://thesool.com/front/find/M000000082/view.do?productId=PR00000483</x:v>
      </x:c>
      <x:c r="O47" s="17" t="str">
        <x:v>http://www.ilpoomsoju.com/</x:v>
      </x:c>
      <x:c r="P47" s="17" t="str"/>
      <x:c r="Q47" s="17" t="str">
        <x:v>B | 2개 출처 일치</x:v>
      </x:c>
      <x:c r="R47" s="17" t="str">
        <x:v>공식 설립연도 미확인</x:v>
      </x:c>
      <x:c r="S47" s="17" t="str">
        <x:v>공식 또는 널리 쓰이는 영문 표기</x:v>
      </x:c>
      <x:c r="T47" s="17" t="str">
        <x:v>등록 가능. 설립연도·공식 영문명은 공개 근거가 없으면 빈칸/권장 표기로 유지</x:v>
      </x:c>
    </x:row>
    <x:row r="48" ht="78" customHeight="1">
      <x:c r="A48" s="17" t="str">
        <x:v>OTHER</x:v>
      </x:c>
      <x:c r="B48" s="17" t="str">
        <x:v>안동전통명주㈜</x:v>
      </x:c>
      <x:c r="C48" s="17" t="str">
        <x:v>Andongjeontongmyeongju Brewery</x:v>
      </x:c>
      <x:c r="D48" s="17"/>
      <x:c r="E48" s="17" t="str">
        <x:v>https://smartstore.naver.com/andongmyongju/products/3458697714</x:v>
      </x:c>
      <x:c r="F48" s="17" t="str">
        <x:v>명품 안동소주, 안동전통명주(주), 안동전통명주㈜, Andongjeontongmyeongju Brewery, 느낌 30, 필, 느낌</x:v>
      </x:c>
      <x:c r="G48" s="17" t="str">
        <x:v>대한민국</x:v>
      </x:c>
      <x:c r="H48" s="17" t="str">
        <x:v>경상북도</x:v>
      </x:c>
      <x:c r="I48" s="17" t="str">
        <x:v>안동전통명주㈜(Andongjeontongmyeongju Brewery)은 대한민국 경상북도에 기반을 둔 증류식 소주 제조사입니다. 대표 제품군에는 느낌 30·필·느낌 등이 포함됩니다. 제품 원료에는 쌀·누룩·국 등이 쓰이며, 원료 선택과 발효·증류 방식의 차이를 살려 제품별 개성을 구성하는 데 초점을 둡니다.</x:v>
      </x:c>
      <x:c r="J48" s="17" t="str">
        <x:v>안동전통명주㈜ (Andongjeontongmyeongju Brewery) is a distilled soju producer based in Gyeongsangbuk-do, South Korea. Its core range includes 느낌 30, 필, 느낌. The range uses ingredients such as rice, nuruk or koji. Its portfolio emphasizes ingredient choice and differences in fermentation and distillation to give each expression a distinct identity.</x:v>
      </x:c>
      <x:c r="K48" s="17" t="str">
        <x:v>느낌 30, 필, 느낌</x:v>
      </x:c>
      <x:c r="L48" s="17" t="str">
        <x:v>증류식</x:v>
      </x:c>
      <x:c r="M48" s="17" t="str">
        <x:v>2026 조사 시점 공공 카탈로그 등재와 제조사·판매 페이지를 대조</x:v>
      </x:c>
      <x:c r="N48" s="17" t="str">
        <x:v>https://thesool.com/front/find/M000000082/view.do?productId=PR00000501</x:v>
      </x:c>
      <x:c r="O48" s="17" t="str">
        <x:v>https://smartstore.naver.com/andongmyongju/products/3458697714</x:v>
      </x:c>
      <x:c r="P48" s="17" t="str">
        <x:v>https://i.nts.go.kr/llsc/na/ntt/selectNttList.do?bbsId=22830&amp;mi=1511</x:v>
      </x:c>
      <x:c r="Q48" s="17" t="str">
        <x:v>B | 2개 출처 일치</x:v>
      </x:c>
      <x:c r="R48" s="17" t="str">
        <x:v>공식 설립연도 미확인</x:v>
      </x:c>
      <x:c r="S48" s="17" t="str">
        <x:v>권장 로마자 표기 — 등록 전 공식 표기 확인</x:v>
      </x:c>
      <x:c r="T48" s="17" t="str">
        <x:v>등록 가능. 설립연도·공식 영문명은 공개 근거가 없으면 빈칸/권장 표기로 유지</x:v>
      </x:c>
    </x:row>
    <x:row r="49" ht="78" customHeight="1">
      <x:c r="A49" s="17" t="str">
        <x:v>OTHER</x:v>
      </x:c>
      <x:c r="B49" s="17" t="str">
        <x:v>양반안동소주</x:v>
      </x:c>
      <x:c r="C49" s="17" t="str">
        <x:v>Yangban Andong Soju</x:v>
      </x:c>
      <x:c r="D49" s="17"/>
      <x:c r="E49" s="17" t="str">
        <x:v>https://www.sojumall.com/htm/main.htm</x:v>
      </x:c>
      <x:c r="F49" s="17" t="str">
        <x:v>양반안동소주, Yangban Andong Soju, 양반안동소주 3년산 호리병</x:v>
      </x:c>
      <x:c r="G49" s="17" t="str">
        <x:v>대한민국</x:v>
      </x:c>
      <x:c r="H49" s="17" t="str">
        <x:v>경상북도</x:v>
      </x:c>
      <x:c r="I49" s="17" t="str">
        <x:v>양반안동소주(Yangban Andong Soju)은 대한민국 경상북도에 기반을 둔 증류식 소주 제조사입니다. 대표 제품군에는 양반안동소주 3년산 호리병 등이 포함됩니다. 제품 원료에는 쌀 등이 쓰이며, 원료 선택과 발효·증류 방식의 차이를 살려 제품별 개성을 구성하는 데 초점을 둡니다.</x:v>
      </x:c>
      <x:c r="J49" s="17" t="str">
        <x:v>양반안동소주 (Yangban Andong Soju) is a distilled soju producer based in Gyeongsangbuk-do, South Korea. Its core range includes 양반안동소주 3년산 호리병. The range uses ingredients such as rice. Its portfolio emphasizes ingredient choice and differences in fermentation and distillation to give each expression a distinct identity.</x:v>
      </x:c>
      <x:c r="K49" s="17" t="str">
        <x:v>양반안동소주 3년산 호리병</x:v>
      </x:c>
      <x:c r="L49" s="17" t="str">
        <x:v>증류식</x:v>
      </x:c>
      <x:c r="M49" s="17" t="str">
        <x:v>2026 조사 시점 공공 카탈로그 등재와 제조사·판매 페이지를 대조</x:v>
      </x:c>
      <x:c r="N49" s="17" t="str">
        <x:v>https://thesool.com/front/find/M000000082/view.do?productId=PR00001130</x:v>
      </x:c>
      <x:c r="O49" s="17" t="str">
        <x:v>https://www.sojumall.com/htm/main.htm</x:v>
      </x:c>
      <x:c r="P49" s="17" t="str"/>
      <x:c r="Q49" s="17" t="str">
        <x:v>B | 2개 출처 일치</x:v>
      </x:c>
      <x:c r="R49" s="17" t="str">
        <x:v>공식 설립연도 미확인</x:v>
      </x:c>
      <x:c r="S49" s="17" t="str">
        <x:v>공식 또는 널리 쓰이는 영문 표기</x:v>
      </x:c>
      <x:c r="T49" s="17" t="str">
        <x:v>등록 가능. 설립연도·공식 영문명은 공개 근거가 없으면 빈칸/권장 표기로 유지</x:v>
      </x:c>
    </x:row>
    <x:row r="50" ht="78" customHeight="1">
      <x:c r="A50" s="17" t="str">
        <x:v>OTHER</x:v>
      </x:c>
      <x:c r="B50" s="17" t="str">
        <x:v>오산양조</x:v>
      </x:c>
      <x:c r="C50" s="17" t="str">
        <x:v>Osanyangjo Brewery</x:v>
      </x:c>
      <x:c r="D50" s="17"/>
      <x:c r="E50" s="17" t="str">
        <x:v>https://www.osansool.com/</x:v>
      </x:c>
      <x:c r="F50" s="17" t="str">
        <x:v>오산양조, Osanyangjo Brewery, 독산 53, 독산 30</x:v>
      </x:c>
      <x:c r="G50" s="17" t="str">
        <x:v>대한민국</x:v>
      </x:c>
      <x:c r="H50" s="17" t="str">
        <x:v>경기도</x:v>
      </x:c>
      <x:c r="I50" s="17" t="str">
        <x:v>오산양조(Osanyangjo Brewery)은 대한민국 경기도에 기반을 둔 증류식 소주 제조사입니다. 대표 제품군에는 독산 53·독산 30 등이 포함됩니다. 제품 원료에는 쌀·누룩·국 등이 쓰이며, 원료 선택과 발효·증류 방식의 차이를 살려 제품별 개성을 구성하는 데 초점을 둡니다.</x:v>
      </x:c>
      <x:c r="J50" s="17" t="str">
        <x:v>오산양조 (Osanyangjo Brewery) is a distilled soju producer based in Gyeonggi-do, South Korea. Its core range includes 독산 53, 독산 30. The range uses ingredients such as rice, nuruk or koji. Its portfolio emphasizes ingredient choice and differences in fermentation and distillation to give each expression a distinct identity.</x:v>
      </x:c>
      <x:c r="K50" s="17" t="str">
        <x:v>독산 53, 독산 30</x:v>
      </x:c>
      <x:c r="L50" s="17" t="str">
        <x:v>증류식</x:v>
      </x:c>
      <x:c r="M50" s="17" t="str">
        <x:v>2026 조사 시점 공공 카탈로그 등재와 제조사·판매 페이지를 대조</x:v>
      </x:c>
      <x:c r="N50" s="17" t="str">
        <x:v>https://thesool.com/front/find/M000000082/view.do?productId=PR00000499</x:v>
      </x:c>
      <x:c r="O50" s="17" t="str">
        <x:v>https://www.osansool.com/</x:v>
      </x:c>
      <x:c r="P50" s="17" t="str"/>
      <x:c r="Q50" s="17" t="str">
        <x:v>B | 2개 출처 일치</x:v>
      </x:c>
      <x:c r="R50" s="17" t="str">
        <x:v>공식 설립연도 미확인</x:v>
      </x:c>
      <x:c r="S50" s="17" t="str">
        <x:v>권장 로마자 표기 — 등록 전 공식 표기 확인</x:v>
      </x:c>
      <x:c r="T50" s="17" t="str">
        <x:v>등록 가능. 설립연도·공식 영문명은 공개 근거가 없으면 빈칸/권장 표기로 유지</x:v>
      </x:c>
    </x:row>
    <x:row r="51" ht="78" customHeight="1">
      <x:c r="A51" s="17" t="str">
        <x:v>OTHER</x:v>
      </x:c>
      <x:c r="B51" s="17" t="str">
        <x:v>옥순가 소곡주 마주</x:v>
      </x:c>
      <x:c r="C51" s="17" t="str">
        <x:v>Oksunga Sogokju Maju Brewery</x:v>
      </x:c>
      <x:c r="D51" s="17"/>
      <x:c r="E51" s="17" t="str">
        <x:v>https://smartstore.naver.com/oksoonga/products/4780697995</x:v>
      </x:c>
      <x:c r="F51" s="17" t="str">
        <x:v>옥순가 소곡주 마주, Oksunga Sogokju Maju Brewery, 마주 소곡화주</x:v>
      </x:c>
      <x:c r="G51" s="17" t="str">
        <x:v>대한민국</x:v>
      </x:c>
      <x:c r="H51" s="17" t="str">
        <x:v>충청남도</x:v>
      </x:c>
      <x:c r="I51" s="17" t="str">
        <x:v>옥순가 소곡주 마주(Oksunga Sogokju Maju Brewery)은 대한민국 충청남도에 기반을 둔 증류식 소주 제조사입니다. 대표 제품군에는 마주 소곡화주 등이 포함됩니다. 제품 원료에는 쌀·밀·누룩·국 등이 쓰이며, 원료 선택과 발효·증류 방식의 차이를 살려 제품별 개성을 구성하는 데 초점을 둡니다.</x:v>
      </x:c>
      <x:c r="J51" s="17" t="str">
        <x:v>옥순가 소곡주 마주 (Oksunga Sogokju Maju Brewery) is a distilled soju producer based in Chungcheongnam-do, South Korea. Its core range includes 마주 소곡화주. The range uses ingredients such as rice, wheat, nuruk or koji. Its portfolio emphasizes ingredient choice and differences in fermentation and distillation to give each expression a distinct identity.</x:v>
      </x:c>
      <x:c r="K51" s="17" t="str">
        <x:v>마주 소곡화주</x:v>
      </x:c>
      <x:c r="L51" s="17" t="str">
        <x:v>증류식</x:v>
      </x:c>
      <x:c r="M51" s="17" t="str">
        <x:v>2026 조사 시점 공공 카탈로그 등재와 제조사·판매 페이지를 대조</x:v>
      </x:c>
      <x:c r="N51" s="17" t="str">
        <x:v>https://thesool.com/front/find/M000000082/view.do?productId=PR00000497</x:v>
      </x:c>
      <x:c r="O51" s="17" t="str">
        <x:v>https://smartstore.naver.com/oksoonga/products/4780697995</x:v>
      </x:c>
      <x:c r="P51" s="17" t="str"/>
      <x:c r="Q51" s="17" t="str">
        <x:v>B | 2개 출처 일치</x:v>
      </x:c>
      <x:c r="R51" s="17" t="str">
        <x:v>공식 설립연도 미확인</x:v>
      </x:c>
      <x:c r="S51" s="17" t="str">
        <x:v>권장 로마자 표기 — 등록 전 공식 표기 확인</x:v>
      </x:c>
      <x:c r="T51" s="17" t="str">
        <x:v>등록 가능. 설립연도·공식 영문명은 공개 근거가 없으면 빈칸/권장 표기로 유지</x:v>
      </x:c>
    </x:row>
    <x:row r="52" ht="78" customHeight="1">
      <x:c r="A52" s="17" t="str">
        <x:v>OTHER</x:v>
      </x:c>
      <x:c r="B52" s="17" t="str">
        <x:v>우리도가</x:v>
      </x:c>
      <x:c r="C52" s="17" t="str">
        <x:v>Uridoga Brewery</x:v>
      </x:c>
      <x:c r="D52" s="17"/>
      <x:c r="E52" s="17" t="str">
        <x:v>https://smartstore.naver.com/wooridoga/products/6611468981</x:v>
      </x:c>
      <x:c r="F52" s="17" t="str">
        <x:v>우리도가, Uridoga Brewery, 가평소주</x:v>
      </x:c>
      <x:c r="G52" s="17" t="str">
        <x:v>대한민국</x:v>
      </x:c>
      <x:c r="H52" s="17" t="str">
        <x:v>경기도</x:v>
      </x:c>
      <x:c r="I52" s="17" t="str">
        <x:v>우리도가(Uridoga Brewery)은 대한민국 경기도에 기반을 둔 증류식 소주 제조사입니다. 대표 제품군에는 가평소주 등이 포함됩니다. 제품 원료에는 쌀 등이 쓰이며, 원료 선택과 발효·증류 방식의 차이를 살려 제품별 개성을 구성하는 데 초점을 둡니다.</x:v>
      </x:c>
      <x:c r="J52" s="17" t="str">
        <x:v>우리도가 (Uridoga Brewery) is a distilled soju producer based in Gyeonggi-do, South Korea. Its core range includes 가평소주. The range uses ingredients such as rice. Its portfolio emphasizes ingredient choice and differences in fermentation and distillation to give each expression a distinct identity.</x:v>
      </x:c>
      <x:c r="K52" s="17" t="str">
        <x:v>가평소주</x:v>
      </x:c>
      <x:c r="L52" s="17" t="str">
        <x:v>증류식</x:v>
      </x:c>
      <x:c r="M52" s="17" t="str">
        <x:v>2026 조사 시점 공공 카탈로그 등재와 제조사·판매 페이지를 대조</x:v>
      </x:c>
      <x:c r="N52" s="17" t="str">
        <x:v>https://thesool.com/front/find/M000000082/view.do?productId=PR00001390</x:v>
      </x:c>
      <x:c r="O52" s="17" t="str">
        <x:v>https://smartstore.naver.com/wooridoga/products/6611468981</x:v>
      </x:c>
      <x:c r="P52" s="17" t="str"/>
      <x:c r="Q52" s="17" t="str">
        <x:v>B | 2개 출처 일치</x:v>
      </x:c>
      <x:c r="R52" s="17" t="str">
        <x:v>공식 설립연도 미확인</x:v>
      </x:c>
      <x:c r="S52" s="17" t="str">
        <x:v>권장 로마자 표기 — 등록 전 공식 표기 확인</x:v>
      </x:c>
      <x:c r="T52" s="17" t="str">
        <x:v>등록 가능. 설립연도·공식 영문명은 공개 근거가 없으면 빈칸/권장 표기로 유지</x:v>
      </x:c>
    </x:row>
    <x:row r="53" ht="78" customHeight="1">
      <x:c r="A53" s="17" t="str">
        <x:v>OTHER</x:v>
      </x:c>
      <x:c r="B53" s="17" t="str">
        <x:v>원스피리츠 농업법인 주식회사</x:v>
      </x:c>
      <x:c r="C53" s="17" t="str">
        <x:v>Won Spirits Agricultural Corporation</x:v>
      </x:c>
      <x:c r="D53" s="17"/>
      <x:c r="E53" s="17" t="str">
        <x:v>https://wonsoju.com/</x:v>
      </x:c>
      <x:c r="F53" s="17" t="str">
        <x:v>원스피리츠 농업법인 주식회사, Won Spirits Agricultural Corporation, 원소주</x:v>
      </x:c>
      <x:c r="G53" s="17" t="str">
        <x:v>대한민국</x:v>
      </x:c>
      <x:c r="H53" s="17" t="str">
        <x:v>강원도</x:v>
      </x:c>
      <x:c r="I53" s="17" t="str">
        <x:v>원스피리츠 농업법인 주식회사(Won Spirits Agricultural Corporation)은 대한민국 강원도에 기반을 둔 증류식 소주 제조사입니다. 대표 제품군에는 원소주 등이 포함됩니다. 제품 원료에는 쌀 등이 쓰이며, 원료 선택과 발효·증류 방식의 차이를 살려 제품별 개성을 구성하는 데 초점을 둡니다.</x:v>
      </x:c>
      <x:c r="J53" s="17" t="str">
        <x:v>원스피리츠 농업법인 주식회사 (Won Spirits Agricultural Corporation) is a distilled soju producer based in Gangwon-do, South Korea. Its core range includes 원소주. The range uses ingredients such as rice. Its portfolio emphasizes ingredient choice and differences in fermentation and distillation to give each expression a distinct identity.</x:v>
      </x:c>
      <x:c r="K53" s="17" t="str">
        <x:v>원소주</x:v>
      </x:c>
      <x:c r="L53" s="17" t="str">
        <x:v>증류식</x:v>
      </x:c>
      <x:c r="M53" s="17" t="str">
        <x:v>2026 조사 시점 공공 카탈로그 등재와 제조사·판매 페이지를 대조</x:v>
      </x:c>
      <x:c r="N53" s="17" t="str">
        <x:v>https://thesool.com/front/find/M000000082/view.do?productId=PR00000827</x:v>
      </x:c>
      <x:c r="O53" s="17" t="str">
        <x:v>https://wonsoju.com/</x:v>
      </x:c>
      <x:c r="P53" s="17" t="str"/>
      <x:c r="Q53" s="17" t="str">
        <x:v>B | 2개 출처 일치</x:v>
      </x:c>
      <x:c r="R53" s="17" t="str">
        <x:v>공식 설립연도 미확인</x:v>
      </x:c>
      <x:c r="S53" s="17" t="str">
        <x:v>공식 또는 널리 쓰이는 영문 표기</x:v>
      </x:c>
      <x:c r="T53" s="17" t="str">
        <x:v>등록 가능. 설립연도·공식 영문명은 공개 근거가 없으면 빈칸/권장 표기로 유지</x:v>
      </x:c>
    </x:row>
    <x:row r="54" ht="78" customHeight="1">
      <x:c r="A54" s="17" t="str">
        <x:v>OTHER</x:v>
      </x:c>
      <x:c r="B54" s="17" t="str">
        <x:v>원조소곡주</x:v>
      </x:c>
      <x:c r="C54" s="17" t="str">
        <x:v>Wonjosogokju Brewery</x:v>
      </x:c>
      <x:c r="D54" s="17"/>
      <x:c r="E54" s="17" t="str">
        <x:v>http://www.xn--399ay50bszdtxbcu.com/</x:v>
      </x:c>
      <x:c r="F54" s="17" t="str">
        <x:v>원조소곡주, Wonjosogokju Brewery, 한산 소곡화주</x:v>
      </x:c>
      <x:c r="G54" s="17" t="str">
        <x:v>대한민국</x:v>
      </x:c>
      <x:c r="H54" s="17" t="str">
        <x:v>충청남도</x:v>
      </x:c>
      <x:c r="I54" s="17" t="str">
        <x:v>원조소곡주(Wonjosogokju Brewery)은 대한민국 충청남도에 기반을 둔 증류식 소주 제조사입니다. 대표 제품군에는 한산 소곡화주 등이 포함됩니다. 제품 원료에는 쌀·누룩·국 등이 쓰이며, 원료 선택과 발효·증류 방식의 차이를 살려 제품별 개성을 구성하는 데 초점을 둡니다.</x:v>
      </x:c>
      <x:c r="J54" s="17" t="str">
        <x:v>원조소곡주 (Wonjosogokju Brewery) is a distilled soju producer based in Chungcheongnam-do, South Korea. Its core range includes 한산 소곡화주. The range uses ingredients such as rice, nuruk or koji. Its portfolio emphasizes ingredient choice and differences in fermentation and distillation to give each expression a distinct identity.</x:v>
      </x:c>
      <x:c r="K54" s="17" t="str">
        <x:v>한산 소곡화주</x:v>
      </x:c>
      <x:c r="L54" s="17" t="str">
        <x:v>증류식</x:v>
      </x:c>
      <x:c r="M54" s="17" t="str">
        <x:v>2026 조사 시점 공공 카탈로그 등재와 제조사·판매 페이지를 대조</x:v>
      </x:c>
      <x:c r="N54" s="17" t="str">
        <x:v>https://thesool.com/front/find/M000000082/view.do?productId=PR00000472</x:v>
      </x:c>
      <x:c r="O54" s="17" t="str">
        <x:v>http://www.xn--399ay50bszdtxbcu.com/</x:v>
      </x:c>
      <x:c r="P54" s="17" t="str"/>
      <x:c r="Q54" s="17" t="str">
        <x:v>B | 2개 출처 일치</x:v>
      </x:c>
      <x:c r="R54" s="17" t="str">
        <x:v>공식 설립연도 미확인</x:v>
      </x:c>
      <x:c r="S54" s="17" t="str">
        <x:v>권장 로마자 표기 — 등록 전 공식 표기 확인</x:v>
      </x:c>
      <x:c r="T54" s="17" t="str">
        <x:v>등록 가능. 설립연도·공식 영문명은 공개 근거가 없으면 빈칸/권장 표기로 유지</x:v>
      </x:c>
    </x:row>
    <x:row r="55" ht="78" customHeight="1">
      <x:c r="A55" s="17" t="str">
        <x:v>OTHER</x:v>
      </x:c>
      <x:c r="B55" s="17" t="str">
        <x:v>월광주조</x:v>
      </x:c>
      <x:c r="C55" s="17" t="str">
        <x:v>Wolgwangjujo Brewery</x:v>
      </x:c>
      <x:c r="D55" s="17"/>
      <x:c r="E55" s="17" t="str">
        <x:v>https://smartstore.naver.com/wgwgwg</x:v>
      </x:c>
      <x:c r="F55" s="17" t="str">
        <x:v>월광주조, Wolgwangjujo Brewery, 월광주 42</x:v>
      </x:c>
      <x:c r="G55" s="17" t="str">
        <x:v>대한민국</x:v>
      </x:c>
      <x:c r="H55" s="17" t="str">
        <x:v>광주</x:v>
      </x:c>
      <x:c r="I55" s="17" t="str">
        <x:v>월광주조(Wolgwangjujo Brewery)은 대한민국 광주에 기반을 둔 증류식 소주 제조사입니다. 대표 제품군에는 월광주 42 등이 포함됩니다. 제품 원료에는 쌀·누룩·국 등이 쓰이며, 원료 선택과 발효·증류 방식의 차이를 살려 제품별 개성을 구성하는 데 초점을 둡니다.</x:v>
      </x:c>
      <x:c r="J55" s="17" t="str">
        <x:v>월광주조 (Wolgwangjujo Brewery) is a distilled soju producer based in Gwangju, South Korea. Its core range includes 월광주 42. The range uses ingredients such as rice, nuruk or koji. Its portfolio emphasizes ingredient choice and differences in fermentation and distillation to give each expression a distinct identity.</x:v>
      </x:c>
      <x:c r="K55" s="17" t="str">
        <x:v>월광주 42</x:v>
      </x:c>
      <x:c r="L55" s="17" t="str">
        <x:v>증류식</x:v>
      </x:c>
      <x:c r="M55" s="17" t="str">
        <x:v>2026 조사 시점 공공 카탈로그 등재와 제조사·판매 페이지를 대조</x:v>
      </x:c>
      <x:c r="N55" s="17" t="str">
        <x:v>https://thesool.com/front/find/M000000082/view.do?productId=PR00001099</x:v>
      </x:c>
      <x:c r="O55" s="17" t="str">
        <x:v>https://smartstore.naver.com/wgwgwg</x:v>
      </x:c>
      <x:c r="P55" s="17" t="str"/>
      <x:c r="Q55" s="17" t="str">
        <x:v>B | 2개 출처 일치</x:v>
      </x:c>
      <x:c r="R55" s="17" t="str">
        <x:v>공식 설립연도 미확인</x:v>
      </x:c>
      <x:c r="S55" s="17" t="str">
        <x:v>권장 로마자 표기 — 등록 전 공식 표기 확인</x:v>
      </x:c>
      <x:c r="T55" s="17" t="str">
        <x:v>등록 가능. 설립연도·공식 영문명은 공개 근거가 없으면 빈칸/권장 표기로 유지</x:v>
      </x:c>
    </x:row>
    <x:row r="56" ht="78" customHeight="1">
      <x:c r="A56" s="17" t="str">
        <x:v>OTHER</x:v>
      </x:c>
      <x:c r="B56" s="17" t="str">
        <x:v>유토피아㈜</x:v>
      </x:c>
      <x:c r="C56" s="17" t="str">
        <x:v>Yutopia Brewery</x:v>
      </x:c>
      <x:c r="D56" s="17"/>
      <x:c r="E56" s="17" t="str">
        <x:v>http://www.sojumall.com/</x:v>
      </x:c>
      <x:c r="F56" s="17" t="str">
        <x:v>(농)유토피아㈜, 유토피아(주), 유토피아㈜, Yutopia Brewery, 로얄 안동소주, 양반안동소주, 양식주</x:v>
      </x:c>
      <x:c r="G56" s="17" t="str">
        <x:v>대한민국</x:v>
      </x:c>
      <x:c r="H56" s="17" t="str">
        <x:v>경상북도</x:v>
      </x:c>
      <x:c r="I56" s="17" t="str">
        <x:v>유토피아㈜(Yutopia Brewery)은 대한민국 경상북도에 기반을 둔 증류식 소주 제조사입니다. 대표 제품군에는 로얄 안동소주·양반안동소주·양식주 등이 포함됩니다. 제품 원료에는 쌀 등이 쓰이며, 원료 선택과 발효·증류 방식의 차이를 살려 제품별 개성을 구성하는 데 초점을 둡니다.</x:v>
      </x:c>
      <x:c r="J56" s="17" t="str">
        <x:v>유토피아㈜ (Yutopia Brewery) is a distilled soju producer based in Gyeongsangbuk-do, South Korea. Its core range includes 로얄 안동소주, 양반안동소주, 양식주. The range uses ingredients such as rice. Its portfolio emphasizes ingredient choice and differences in fermentation and distillation to give each expression a distinct identity.</x:v>
      </x:c>
      <x:c r="K56" s="17" t="str">
        <x:v>로얄 안동소주, 양반안동소주, 양식주</x:v>
      </x:c>
      <x:c r="L56" s="17" t="str">
        <x:v>증류식</x:v>
      </x:c>
      <x:c r="M56" s="17" t="str">
        <x:v>2026 조사 시점 공공 카탈로그 등재와 제조사·판매 페이지를 대조</x:v>
      </x:c>
      <x:c r="N56" s="17" t="str">
        <x:v>https://thesool.com/front/find/M000000082/view.do?productId=PR00000576</x:v>
      </x:c>
      <x:c r="O56" s="17" t="str">
        <x:v>http://www.sojumall.com/</x:v>
      </x:c>
      <x:c r="P56" s="17" t="str">
        <x:v>https://i.nts.go.kr/llsc/na/ntt/selectNttList.do?bbsId=22830&amp;mi=1511</x:v>
      </x:c>
      <x:c r="Q56" s="17" t="str">
        <x:v>B | 2개 출처 일치</x:v>
      </x:c>
      <x:c r="R56" s="17" t="str">
        <x:v>공식 설립연도 미확인</x:v>
      </x:c>
      <x:c r="S56" s="17" t="str">
        <x:v>권장 로마자 표기 — 등록 전 공식 표기 확인</x:v>
      </x:c>
      <x:c r="T56" s="17" t="str">
        <x:v>등록 가능. 설립연도·공식 영문명은 공개 근거가 없으면 빈칸/권장 표기로 유지</x:v>
      </x:c>
    </x:row>
    <x:row r="57" ht="78" customHeight="1">
      <x:c r="A57" s="17" t="str">
        <x:v>OTHER</x:v>
      </x:c>
      <x:c r="B57" s="17" t="str">
        <x:v>제이앤제이 브루어리㈜</x:v>
      </x:c>
      <x:c r="C57" s="17" t="str">
        <x:v>J&amp;J Brewery Ltd.</x:v>
      </x:c>
      <x:c r="D57" s="17"/>
      <x:c r="E57" s="17" t="str"/>
      <x:c r="F57" s="17" t="str">
        <x:v>J&amp;J Brewery, 청혼레드25, 청혼 Red, 제이앤제이 브루어리㈜, J&amp;J Brewery Ltd., 청혼 Red 25</x:v>
      </x:c>
      <x:c r="G57" s="17" t="str">
        <x:v>대한민국</x:v>
      </x:c>
      <x:c r="H57" s="17" t="str"/>
      <x:c r="I57" s="17" t="str">
        <x:v>제이앤제이 브루어리㈜(J&amp;J Brewery Ltd.)은 대한민국에 기반을 둔 증류식 소주 제조사입니다. 대표 제품군에는 청혼 Red 25 등이 포함됩니다. 원료 선택과 발효·증류 방식의 차이를 살려 제품별 개성을 구성하는 데 초점을 둡니다.</x:v>
      </x:c>
      <x:c r="J57" s="17" t="str">
        <x:v>제이앤제이 브루어리㈜ (J&amp;J Brewery Ltd.) is a distilled soju producer operating in South Korea. Its core range includes 청혼 Red 25. Its portfolio emphasizes ingredient choice and differences in fermentation and distillation to give each expression a distinct identity.</x:v>
      </x:c>
      <x:c r="K57" s="17" t="str">
        <x:v>청혼 Red 25</x:v>
      </x:c>
      <x:c r="L57" s="17" t="str">
        <x:v>증류식</x:v>
      </x:c>
      <x:c r="M57" s="17" t="str">
        <x:v>더술닷컴이 증류식 소주로 명시하고 국세청 제품 목록과 제조사를 교차 확인</x:v>
      </x:c>
      <x:c r="N57" s="17" t="str">
        <x:v>https://thesool.com/front/publication/M000000078/view.do?bbsId=A000000049&amp;publicationId=C000002774</x:v>
      </x:c>
      <x:c r="O57" s="17" t="str">
        <x:v>https://i.nts.go.kr/llsc/na/ntt/selectNttList.do?bbsId=22830&amp;mi=1511</x:v>
      </x:c>
      <x:c r="P57" s="17" t="str">
        <x:v>https://thesool.com/front/find/M000000086/list.do?kind=CD00000144</x:v>
      </x:c>
      <x:c r="Q57" s="17" t="str">
        <x:v>B | 2개 출처 일치</x:v>
      </x:c>
      <x:c r="R57" s="17" t="str">
        <x:v>공식 설립연도 미확인</x:v>
      </x:c>
      <x:c r="S57" s="17" t="str">
        <x:v>공식 또는 널리 쓰이는 영문 표기</x:v>
      </x:c>
      <x:c r="T57" s="17" t="str">
        <x:v>더술닷컴이 증류식 소주로 명시하고 국세청 제품 목록과 제조사를 교차 확인</x:v>
      </x:c>
    </x:row>
    <x:row r="58" ht="78" customHeight="1">
      <x:c r="A58" s="17" t="str">
        <x:v>OTHER</x:v>
      </x:c>
      <x:c r="B58" s="17" t="str">
        <x:v>제주고소리술익는집</x:v>
      </x:c>
      <x:c r="C58" s="17" t="str">
        <x:v>Jeju Gosorisul Ikneunjip</x:v>
      </x:c>
      <x:c r="D58" s="17"/>
      <x:c r="E58" s="17" t="str">
        <x:v>http://jejugosorisul.com/</x:v>
      </x:c>
      <x:c r="F58" s="17" t="str">
        <x:v>제주고소리술익는집, Jeju Gosorisul Ikneunjip, 제주술익는집 고소리술, 제주고소리술</x:v>
      </x:c>
      <x:c r="G58" s="17" t="str">
        <x:v>대한민국</x:v>
      </x:c>
      <x:c r="H58" s="17" t="str">
        <x:v>제주도</x:v>
      </x:c>
      <x:c r="I58" s="17" t="str">
        <x:v>제주고소리술익는집(Jeju Gosorisul Ikneunjip)은 대한민국 제주도에 기반을 둔 증류식 소주 제조사입니다. 대표 제품군에는 제주술익는집 고소리술·제주고소리술 등이 포함됩니다. 제품 원료에는 누룩·국 등이 쓰이며, 원료 선택과 발효·증류 방식의 차이를 살려 제품별 개성을 구성하는 데 초점을 둡니다.</x:v>
      </x:c>
      <x:c r="J58" s="17" t="str">
        <x:v>제주고소리술익는집 (Jeju Gosorisul Ikneunjip) is a distilled soju producer based in Jeju-do, South Korea. Its core range includes 제주술익는집 고소리술, 제주고소리술. The range uses ingredients such as nuruk or koji. Its portfolio emphasizes ingredient choice and differences in fermentation and distillation to give each expression a distinct identity.</x:v>
      </x:c>
      <x:c r="K58" s="17" t="str">
        <x:v>제주술익는집 고소리술, 제주고소리술</x:v>
      </x:c>
      <x:c r="L58" s="17" t="str">
        <x:v>증류식</x:v>
      </x:c>
      <x:c r="M58" s="17" t="str">
        <x:v>2026 조사 시점 공공 카탈로그 등재와 제조사·판매 페이지를 대조</x:v>
      </x:c>
      <x:c r="N58" s="17" t="str">
        <x:v>https://thesool.com/front/find/M000000082/view.do?productId=PR00000560</x:v>
      </x:c>
      <x:c r="O58" s="17" t="str">
        <x:v>http://jejugosorisul.com/</x:v>
      </x:c>
      <x:c r="P58" s="17" t="str">
        <x:v>https://i.nts.go.kr/llsc/na/ntt/selectNttList.do?bbsId=22830&amp;mi=1511</x:v>
      </x:c>
      <x:c r="Q58" s="17" t="str">
        <x:v>B | 2개 출처 일치</x:v>
      </x:c>
      <x:c r="R58" s="17" t="str">
        <x:v>공식 설립연도 미확인</x:v>
      </x:c>
      <x:c r="S58" s="17" t="str">
        <x:v>공식 또는 널리 쓰이는 영문 표기</x:v>
      </x:c>
      <x:c r="T58" s="17" t="str">
        <x:v>등록 가능. 설립연도·공식 영문명은 공개 근거가 없으면 빈칸/권장 표기로 유지</x:v>
      </x:c>
    </x:row>
    <x:row r="59" ht="78" customHeight="1">
      <x:c r="A59" s="17" t="str">
        <x:v>OTHER</x:v>
      </x:c>
      <x:c r="B59" s="17" t="str">
        <x:v>제천한약영농조합법인</x:v>
      </x:c>
      <x:c r="C59" s="17" t="str">
        <x:v>Jecheonhanyak Brewery</x:v>
      </x:c>
      <x:c r="D59" s="17"/>
      <x:c r="E59" s="17" t="str">
        <x:v>https://www.xn--o39aj06azycp7ebxxnfa.com/</x:v>
      </x:c>
      <x:c r="F59" s="17" t="str">
        <x:v>제천한약영농조합법인, 제천한약 영농조합법인, 제천한약, Jecheonhanyak Brewery, 한비 쌀소주, 한비 오가피술, 한비의림소주, 한비쌀소주, 한비소주</x:v>
      </x:c>
      <x:c r="G59" s="17" t="str">
        <x:v>대한민국</x:v>
      </x:c>
      <x:c r="H59" s="17" t="str">
        <x:v>충청북도</x:v>
      </x:c>
      <x:c r="I59" s="17" t="str">
        <x:v>제천한약영농조합법인(Jecheonhanyak Brewery)은 대한민국 충청북도에 기반을 둔 증류식 소주 제조사입니다. 대표 제품군에는 한비 쌀소주·한비 오가피술·한비의림소주·한비쌀소주·한비소주 등이 포함됩니다. 제품 원료에는 쌀·누룩·국 등이 쓰이며, 원료 선택과 발효·증류 방식의 차이를 살려 제품별 개성을 구성하는 데 초점을 둡니다.</x:v>
      </x:c>
      <x:c r="J59" s="17" t="str">
        <x:v>제천한약영농조합법인 (Jecheonhanyak Brewery) is a distilled soju producer based in Chungcheongbuk-do, South Korea. Its core range includes 한비 쌀소주, 한비 오가피술, 한비의림소주, 한비쌀소주, 한비소주. The range uses ingredients such as rice, nuruk or koji. Its portfolio emphasizes ingredient choice and differences in fermentation and distillation to give each expression a distinct identity.</x:v>
      </x:c>
      <x:c r="K59" s="17" t="str">
        <x:v>한비 쌀소주, 한비 오가피술, 한비의림소주, 한비쌀소주, 한비소주</x:v>
      </x:c>
      <x:c r="L59" s="17" t="str">
        <x:v>증류식</x:v>
      </x:c>
      <x:c r="M59" s="17" t="str">
        <x:v>2026 조사 시점 공공 카탈로그 등재와 제조사·판매 페이지를 대조</x:v>
      </x:c>
      <x:c r="N59" s="17" t="str">
        <x:v>https://thesool.com/front/find/M000000082/view.do?productId=PR00000549</x:v>
      </x:c>
      <x:c r="O59" s="17" t="str">
        <x:v>https://www.xn--o39aj06azycp7ebxxnfa.com/</x:v>
      </x:c>
      <x:c r="P59" s="17" t="str">
        <x:v>https://i.nts.go.kr/llsc/na/ntt/selectNttList.do?bbsId=22830&amp;mi=1511</x:v>
      </x:c>
      <x:c r="Q59" s="17" t="str">
        <x:v>B | 2개 출처 일치</x:v>
      </x:c>
      <x:c r="R59" s="17" t="str">
        <x:v>공식 설립연도 미확인</x:v>
      </x:c>
      <x:c r="S59" s="17" t="str">
        <x:v>권장 로마자 표기 — 등록 전 공식 표기 확인</x:v>
      </x:c>
      <x:c r="T59" s="17" t="str">
        <x:v>등록 가능. 설립연도·공식 영문명은 공개 근거가 없으면 빈칸/권장 표기로 유지</x:v>
      </x:c>
    </x:row>
    <x:row r="60" ht="78" customHeight="1">
      <x:c r="A60" s="17" t="str">
        <x:v>OTHER</x:v>
      </x:c>
      <x:c r="B60" s="17" t="str">
        <x:v>조은술세종㈜</x:v>
      </x:c>
      <x:c r="C60" s="17" t="str">
        <x:v>Joeunsul Sejong Co., Ltd.</x:v>
      </x:c>
      <x:c r="D60" s="17"/>
      <x:c r="E60" s="17" t="str">
        <x:v>http://www.joeunsulsj.co.kr/</x:v>
      </x:c>
      <x:c r="F60" s="17" t="str">
        <x:v>조은술 세종, 조은술세종, 조은술세종(주), 조은술세종㈜, Joeunsul Sejong Co., Ltd., 유기농 이도 32, 유기농 이도 42, 이도22, 이도</x:v>
      </x:c>
      <x:c r="G60" s="17" t="str">
        <x:v>대한민국</x:v>
      </x:c>
      <x:c r="H60" s="17" t="str">
        <x:v>충청북도</x:v>
      </x:c>
      <x:c r="I60" s="17" t="str">
        <x:v>조은술세종㈜(Joeunsul Sejong Co., Ltd.)은 대한민국 충청북도에 기반을 둔 증류식 소주 제조사입니다. 대표 제품군에는 유기농 이도 32·유기농 이도 42·이도22·이도 등이 포함됩니다. 제품 원료에는 쌀 등이 쓰이며, 원료 선택과 발효·증류 방식의 차이를 살려 제품별 개성을 구성하는 데 초점을 둡니다.</x:v>
      </x:c>
      <x:c r="J60" s="17" t="str">
        <x:v>조은술세종㈜ (Joeunsul Sejong Co., Ltd.) is a distilled soju producer based in Chungcheongbuk-do, South Korea. Its core range includes 유기농 이도 32, 유기농 이도 42, 이도22, 이도. The range uses ingredients such as rice. Its portfolio emphasizes ingredient choice and differences in fermentation and distillation to give each expression a distinct identity.</x:v>
      </x:c>
      <x:c r="K60" s="17" t="str">
        <x:v>유기농 이도 32, 유기농 이도 42, 이도22, 이도</x:v>
      </x:c>
      <x:c r="L60" s="17" t="str">
        <x:v>증류식</x:v>
      </x:c>
      <x:c r="M60" s="17" t="str">
        <x:v>2026 조사 시점 공공 카탈로그 등재와 제조사·판매 페이지를 대조</x:v>
      </x:c>
      <x:c r="N60" s="17" t="str">
        <x:v>https://thesool.com/front/find/M000000082/view.do?productId=PR00000751</x:v>
      </x:c>
      <x:c r="O60" s="17" t="str">
        <x:v>http://www.joeunsulsj.co.kr/</x:v>
      </x:c>
      <x:c r="P60" s="17" t="str">
        <x:v>https://i.nts.go.kr/llsc/na/ntt/selectNttList.do?bbsId=22830&amp;mi=1511</x:v>
      </x:c>
      <x:c r="Q60" s="17" t="str">
        <x:v>B | 2개 출처 일치</x:v>
      </x:c>
      <x:c r="R60" s="17" t="str">
        <x:v>공식 설립연도 미확인</x:v>
      </x:c>
      <x:c r="S60" s="17" t="str">
        <x:v>공식 또는 널리 쓰이는 영문 표기</x:v>
      </x:c>
      <x:c r="T60" s="17" t="str">
        <x:v>등록 가능. 설립연도·공식 영문명은 공개 근거가 없으면 빈칸/권장 표기로 유지</x:v>
      </x:c>
    </x:row>
    <x:row r="61" ht="78" customHeight="1">
      <x:c r="A61" s="17" t="str">
        <x:v>OTHER</x:v>
      </x:c>
      <x:c r="B61" s="17" t="str">
        <x:v>죽향도가</x:v>
      </x:c>
      <x:c r="C61" s="17" t="str">
        <x:v>Jukhyangdoga Brewery</x:v>
      </x:c>
      <x:c r="D61" s="17"/>
      <x:c r="E61" s="17" t="str">
        <x:v>https://smartstore.naver.com/jhdg</x:v>
      </x:c>
      <x:c r="F61" s="17" t="str">
        <x:v>죽향도가, Jukhyangdoga Brewery, 대숲 맑은 담양향 Gold</x:v>
      </x:c>
      <x:c r="G61" s="17" t="str">
        <x:v>대한민국</x:v>
      </x:c>
      <x:c r="H61" s="17" t="str">
        <x:v>전라남도</x:v>
      </x:c>
      <x:c r="I61" s="17" t="str">
        <x:v>죽향도가(Jukhyangdoga Brewery)은 대한민국 전라남도에 기반을 둔 증류식 소주 제조사입니다. 대표 제품군에는 대숲 맑은 담양향 Gold 등이 포함됩니다. 제품 원료에는 쌀 등이 쓰이며, 원료 선택과 발효·증류 방식의 차이를 살려 제품별 개성을 구성하는 데 초점을 둡니다.</x:v>
      </x:c>
      <x:c r="J61" s="17" t="str">
        <x:v>죽향도가 (Jukhyangdoga Brewery) is a distilled soju producer based in Jeollanam-do, South Korea. Its core range includes 대숲 맑은 담양향 Gold. The range uses ingredients such as rice. Its portfolio emphasizes ingredient choice and differences in fermentation and distillation to give each expression a distinct identity.</x:v>
      </x:c>
      <x:c r="K61" s="17" t="str">
        <x:v>대숲 맑은 담양향 Gold</x:v>
      </x:c>
      <x:c r="L61" s="17" t="str">
        <x:v>증류식</x:v>
      </x:c>
      <x:c r="M61" s="17" t="str">
        <x:v>2026 조사 시점 공공 카탈로그 등재와 제조사·판매 페이지를 대조</x:v>
      </x:c>
      <x:c r="N61" s="17" t="str">
        <x:v>https://thesool.com/front/find/M000000082/view.do?productId=PR00001127</x:v>
      </x:c>
      <x:c r="O61" s="17" t="str">
        <x:v>https://smartstore.naver.com/jhdg</x:v>
      </x:c>
      <x:c r="P61" s="17" t="str"/>
      <x:c r="Q61" s="17" t="str">
        <x:v>B | 2개 출처 일치</x:v>
      </x:c>
      <x:c r="R61" s="17" t="str">
        <x:v>공식 설립연도 미확인</x:v>
      </x:c>
      <x:c r="S61" s="17" t="str">
        <x:v>권장 로마자 표기 — 등록 전 공식 표기 확인</x:v>
      </x:c>
      <x:c r="T61" s="17" t="str">
        <x:v>등록 가능. 설립연도·공식 영문명은 공개 근거가 없으면 빈칸/권장 표기로 유지</x:v>
      </x:c>
    </x:row>
    <x:row r="62" ht="78" customHeight="1">
      <x:c r="A62" s="17" t="str">
        <x:v>OTHER</x:v>
      </x:c>
      <x:c r="B62" s="17" t="str">
        <x:v>지비지 스피리츠㈜ 농업회사법인</x:v>
      </x:c>
      <x:c r="C62" s="17" t="str">
        <x:v>GBG Spirits Agricultural Corporation</x:v>
      </x:c>
      <x:c r="D62" s="17"/>
      <x:c r="E62" s="17" t="str"/>
      <x:c r="F62" s="17" t="str">
        <x:v>GBG Spirits, 경복궁 소주, 지비지 스피리츠㈜ 농업회사법인, GBG Spirits Agricultural Corporation, 경복궁 소주40</x:v>
      </x:c>
      <x:c r="G62" s="17" t="str">
        <x:v>대한민국</x:v>
      </x:c>
      <x:c r="H62" s="17" t="str"/>
      <x:c r="I62" s="17" t="str">
        <x:v>지비지 스피리츠㈜ 농업회사법인(GBG Spirits Agricultural Corporation)은 대한민국에 기반을 둔 증류식 소주 제조사입니다. 대표 제품군에는 경복궁 소주40 등이 포함됩니다. 원료 선택과 발효·증류 방식의 차이를 살려 제품별 개성을 구성하는 데 초점을 둡니다.</x:v>
      </x:c>
      <x:c r="J62" s="17" t="str">
        <x:v>지비지 스피리츠㈜ 농업회사법인 (GBG Spirits Agricultural Corporation) is a distilled soju producer operating in South Korea. Its core range includes 경복궁 소주40. Its portfolio emphasizes ingredient choice and differences in fermentation and distillation to give each expression a distinct identity.</x:v>
      </x:c>
      <x:c r="K62" s="17" t="str">
        <x:v>경복궁 소주40</x:v>
      </x:c>
      <x:c r="L62" s="17" t="str">
        <x:v>증류식</x:v>
      </x:c>
      <x:c r="M62" s="17" t="str">
        <x:v>2026 국세청 K-SUUL 참가 제품으로 현재 생산 활동 확인. 공식 홈페이지·설립연도는 공개 확인이 필요</x:v>
      </x:c>
      <x:c r="N62" s="17" t="str">
        <x:v>https://t.nts.go.kr/dongdaegu/na/ntt/selectNttInfo.do?mi=2201&amp;nttSn=1351814</x:v>
      </x:c>
      <x:c r="O62" s="17" t="str"/>
      <x:c r="P62" s="17" t="str"/>
      <x:c r="Q62" s="17" t="str">
        <x:v>A | 2026 공식 확인</x:v>
      </x:c>
      <x:c r="R62" s="17" t="str">
        <x:v>공식 설립연도 미확인</x:v>
      </x:c>
      <x:c r="S62" s="17" t="str">
        <x:v>공식 또는 널리 쓰이는 영문 표기</x:v>
      </x:c>
      <x:c r="T62" s="17" t="str">
        <x:v>2026 국세청 K-SUUL 참가 제품으로 현재 생산 활동 확인. 공식 홈페이지·설립연도는 공개 확인이 필요</x:v>
      </x:c>
    </x:row>
    <x:row r="63" ht="78" customHeight="1">
      <x:c r="A63" s="17" t="str">
        <x:v>OTHER</x:v>
      </x:c>
      <x:c r="B63" s="17" t="str">
        <x:v>추연당</x:v>
      </x:c>
      <x:c r="C63" s="17" t="str">
        <x:v>Chuyeondang Brewery</x:v>
      </x:c>
      <x:c r="D63" s="17"/>
      <x:c r="E63" s="17" t="str">
        <x:v>https://smartstore.naver.com/chuyondang</x:v>
      </x:c>
      <x:c r="F63" s="17" t="str">
        <x:v>추연당, Chuyeondang Brewery, 소여강</x:v>
      </x:c>
      <x:c r="G63" s="17" t="str">
        <x:v>대한민국</x:v>
      </x:c>
      <x:c r="H63" s="17" t="str">
        <x:v>경기도</x:v>
      </x:c>
      <x:c r="I63" s="17" t="str">
        <x:v>추연당(Chuyeondang Brewery)은 대한민국 경기도에 기반을 둔 증류식 소주 제조사입니다. 대표 제품군에는 소여강 등이 포함됩니다. 제품 원료에는 쌀·누룩·국 등이 쓰이며, 원료 선택과 발효·증류 방식의 차이를 살려 제품별 개성을 구성하는 데 초점을 둡니다.</x:v>
      </x:c>
      <x:c r="J63" s="17" t="str">
        <x:v>추연당 (Chuyeondang Brewery) is a distilled soju producer based in Gyeonggi-do, South Korea. Its core range includes 소여강. The range uses ingredients such as rice, nuruk or koji. Its portfolio emphasizes ingredient choice and differences in fermentation and distillation to give each expression a distinct identity.</x:v>
      </x:c>
      <x:c r="K63" s="17" t="str">
        <x:v>소여강</x:v>
      </x:c>
      <x:c r="L63" s="17" t="str">
        <x:v>증류식</x:v>
      </x:c>
      <x:c r="M63" s="17" t="str">
        <x:v>2026 조사 시점 공공 카탈로그 등재와 제조사·판매 페이지를 대조</x:v>
      </x:c>
      <x:c r="N63" s="17" t="str">
        <x:v>https://thesool.com/front/find/M000000082/view.do?productId=PR00000527</x:v>
      </x:c>
      <x:c r="O63" s="17" t="str">
        <x:v>https://smartstore.naver.com/chuyondang</x:v>
      </x:c>
      <x:c r="P63" s="17" t="str"/>
      <x:c r="Q63" s="17" t="str">
        <x:v>B | 2개 출처 일치</x:v>
      </x:c>
      <x:c r="R63" s="17" t="str">
        <x:v>공식 설립연도 미확인</x:v>
      </x:c>
      <x:c r="S63" s="17" t="str">
        <x:v>권장 로마자 표기 — 등록 전 공식 표기 확인</x:v>
      </x:c>
      <x:c r="T63" s="17" t="str">
        <x:v>등록 가능. 설립연도·공식 영문명은 공개 근거가 없으면 빈칸/권장 표기로 유지</x:v>
      </x:c>
    </x:row>
    <x:row r="64" ht="78" customHeight="1">
      <x:c r="A64" s="17" t="str">
        <x:v>OTHER</x:v>
      </x:c>
      <x:c r="B64" s="17" t="str">
        <x:v>한산소곡주</x:v>
      </x:c>
      <x:c r="C64" s="17" t="str">
        <x:v>Hansansogokju Brewery</x:v>
      </x:c>
      <x:c r="D64" s="17"/>
      <x:c r="E64" s="17" t="str">
        <x:v>http://www.sogokju.co.kr/</x:v>
      </x:c>
      <x:c r="F64" s="17" t="str">
        <x:v>한산소곡주, Hansansogokju Brewery, 불소주, 화백</x:v>
      </x:c>
      <x:c r="G64" s="17" t="str">
        <x:v>대한민국</x:v>
      </x:c>
      <x:c r="H64" s="17" t="str">
        <x:v>충청남도</x:v>
      </x:c>
      <x:c r="I64" s="17" t="str">
        <x:v>한산소곡주(Hansansogokju Brewery)은 대한민국 충청남도에 기반을 둔 증류식 소주 제조사입니다. 대표 제품군에는 불소주·화백 등이 포함됩니다. 제품 원료에는 쌀·밀·누룩·국 등이 쓰이며, 원료 선택과 발효·증류 방식의 차이를 살려 제품별 개성을 구성하는 데 초점을 둡니다.</x:v>
      </x:c>
      <x:c r="J64" s="17" t="str">
        <x:v>한산소곡주 (Hansansogokju Brewery) is a distilled soju producer based in Chungcheongnam-do, South Korea. Its core range includes 불소주, 화백. The range uses ingredients such as rice, wheat, nuruk or koji. Its portfolio emphasizes ingredient choice and differences in fermentation and distillation to give each expression a distinct identity.</x:v>
      </x:c>
      <x:c r="K64" s="17" t="str">
        <x:v>불소주, 화백</x:v>
      </x:c>
      <x:c r="L64" s="17" t="str">
        <x:v>증류식</x:v>
      </x:c>
      <x:c r="M64" s="17" t="str">
        <x:v>2026 조사 시점 공공 카탈로그 등재와 제조사·판매 페이지를 대조</x:v>
      </x:c>
      <x:c r="N64" s="17" t="str">
        <x:v>https://thesool.com/front/find/M000000082/view.do?productId=PR00000909</x:v>
      </x:c>
      <x:c r="O64" s="17" t="str">
        <x:v>http://www.sogokju.co.kr/</x:v>
      </x:c>
      <x:c r="P64" s="17" t="str"/>
      <x:c r="Q64" s="17" t="str">
        <x:v>B | 2개 출처 일치</x:v>
      </x:c>
      <x:c r="R64" s="17" t="str">
        <x:v>공식 설립연도 미확인</x:v>
      </x:c>
      <x:c r="S64" s="17" t="str">
        <x:v>권장 로마자 표기 — 등록 전 공식 표기 확인</x:v>
      </x:c>
      <x:c r="T64" s="17" t="str">
        <x:v>등록 가능. 설립연도·공식 영문명은 공개 근거가 없으면 빈칸/권장 표기로 유지</x:v>
      </x:c>
    </x:row>
    <x:row r="65" ht="78" customHeight="1">
      <x:c r="A65" s="17" t="str">
        <x:v>OTHER</x:v>
      </x:c>
      <x:c r="B65" s="17" t="str">
        <x:v>한산예담은소곡주</x:v>
      </x:c>
      <x:c r="C65" s="17" t="str">
        <x:v>Hansanyedameunsogokju Brewery</x:v>
      </x:c>
      <x:c r="D65" s="17"/>
      <x:c r="E65" s="17" t="str">
        <x:v>http://xn--399a58ii8nflevubg8d.com/</x:v>
      </x:c>
      <x:c r="F65" s="17" t="str">
        <x:v>한산예담은소곡주, Hansanyedameunsogokju Brewery, 한산예담은 한산소곡화주</x:v>
      </x:c>
      <x:c r="G65" s="17" t="str">
        <x:v>대한민국</x:v>
      </x:c>
      <x:c r="H65" s="17" t="str">
        <x:v>충청남도</x:v>
      </x:c>
      <x:c r="I65" s="17" t="str">
        <x:v>한산예담은소곡주(Hansanyedameunsogokju Brewery)은 대한민국 충청남도에 기반을 둔 증류식 소주 제조사입니다. 대표 제품군에는 한산예담은 한산소곡화주 등이 포함됩니다. 제품 원료에는 쌀·누룩·국 등이 쓰이며, 원료 선택과 발효·증류 방식의 차이를 살려 제품별 개성을 구성하는 데 초점을 둡니다.</x:v>
      </x:c>
      <x:c r="J65" s="17" t="str">
        <x:v>한산예담은소곡주 (Hansanyedameunsogokju Brewery) is a distilled soju producer based in Chungcheongnam-do, South Korea. Its core range includes 한산예담은 한산소곡화주. The range uses ingredients such as rice, nuruk or koji. Its portfolio emphasizes ingredient choice and differences in fermentation and distillation to give each expression a distinct identity.</x:v>
      </x:c>
      <x:c r="K65" s="17" t="str">
        <x:v>한산예담은 한산소곡화주</x:v>
      </x:c>
      <x:c r="L65" s="17" t="str">
        <x:v>증류식</x:v>
      </x:c>
      <x:c r="M65" s="17" t="str">
        <x:v>2026 조사 시점 공공 카탈로그 등재와 제조사·판매 페이지를 대조</x:v>
      </x:c>
      <x:c r="N65" s="17" t="str">
        <x:v>https://thesool.com/front/find/M000000082/view.do?productId=PR00000478</x:v>
      </x:c>
      <x:c r="O65" s="17" t="str">
        <x:v>http://xn--399a58ii8nflevubg8d.com/</x:v>
      </x:c>
      <x:c r="P65" s="17" t="str"/>
      <x:c r="Q65" s="17" t="str">
        <x:v>B | 2개 출처 일치</x:v>
      </x:c>
      <x:c r="R65" s="17" t="str">
        <x:v>공식 설립연도 미확인</x:v>
      </x:c>
      <x:c r="S65" s="17" t="str">
        <x:v>권장 로마자 표기 — 등록 전 공식 표기 확인</x:v>
      </x:c>
      <x:c r="T65" s="17" t="str">
        <x:v>등록 가능. 설립연도·공식 영문명은 공개 근거가 없으면 빈칸/권장 표기로 유지</x:v>
      </x:c>
    </x:row>
    <x:row r="66" ht="78" customHeight="1">
      <x:c r="A66" s="17" t="str">
        <x:v>OTHER</x:v>
      </x:c>
      <x:c r="B66" s="17" t="str">
        <x:v>한주양조</x:v>
      </x:c>
      <x:c r="C66" s="17" t="str">
        <x:v>Hanjuyangjo Brewery</x:v>
      </x:c>
      <x:c r="D66" s="17"/>
      <x:c r="E66" s="17" t="str">
        <x:v>https://www.hanju.kr/hanju</x:v>
      </x:c>
      <x:c r="F66" s="17" t="str">
        <x:v>한주양조, Hanjuyangjo Brewery, 한주매화, 한주/25도, 한주/20도, 한주/35도</x:v>
      </x:c>
      <x:c r="G66" s="17" t="str">
        <x:v>대한민국</x:v>
      </x:c>
      <x:c r="H66" s="17" t="str">
        <x:v>경기도</x:v>
      </x:c>
      <x:c r="I66" s="17" t="str">
        <x:v>한주양조(Hanjuyangjo Brewery)은 대한민국 경기도에 기반을 둔 증류식 소주 제조사입니다. 대표 제품군에는 한주매화·한주/25도·한주/20도·한주/35도 등이 포함됩니다. 제품 원료에는 쌀·밀·누룩·국 등이 쓰이며, 원료 선택과 발효·증류 방식의 차이를 살려 제품별 개성을 구성하는 데 초점을 둡니다.</x:v>
      </x:c>
      <x:c r="J66" s="17" t="str">
        <x:v>한주양조 (Hanjuyangjo Brewery) is a distilled soju producer based in Gyeonggi-do, South Korea. Its core range includes 한주매화, 한주/25도, 한주/20도, 한주/35도. The range uses ingredients such as rice, wheat, nuruk or koji. Its portfolio emphasizes ingredient choice and differences in fermentation and distillation to give each expression a distinct identity.</x:v>
      </x:c>
      <x:c r="K66" s="17" t="str">
        <x:v>한주매화, 한주/25도, 한주/20도, 한주/35도</x:v>
      </x:c>
      <x:c r="L66" s="17" t="str">
        <x:v>증류식</x:v>
      </x:c>
      <x:c r="M66" s="17" t="str">
        <x:v>2026 조사 시점 공공 카탈로그 등재와 제조사·판매 페이지를 대조</x:v>
      </x:c>
      <x:c r="N66" s="17" t="str">
        <x:v>https://thesool.com/front/find/M000000082/view.do?productId=PR00001110</x:v>
      </x:c>
      <x:c r="O66" s="17" t="str">
        <x:v>https://www.hanju.kr/hanju</x:v>
      </x:c>
      <x:c r="P66" s="17" t="str">
        <x:v>https://i.nts.go.kr/llsc/na/ntt/selectNttList.do?bbsId=22830&amp;mi=1511</x:v>
      </x:c>
      <x:c r="Q66" s="17" t="str">
        <x:v>B | 2개 출처 일치</x:v>
      </x:c>
      <x:c r="R66" s="17" t="str">
        <x:v>공식 설립연도 미확인</x:v>
      </x:c>
      <x:c r="S66" s="17" t="str">
        <x:v>권장 로마자 표기 — 등록 전 공식 표기 확인</x:v>
      </x:c>
      <x:c r="T66" s="17" t="str">
        <x:v>등록 가능. 설립연도·공식 영문명은 공개 근거가 없으면 빈칸/권장 표기로 유지</x:v>
      </x:c>
    </x:row>
    <x:row r="67" ht="78" customHeight="1">
      <x:c r="A67" s="17" t="str">
        <x:v>OTHER</x:v>
      </x:c>
      <x:c r="B67" s="17" t="str">
        <x:v>협동조합 모월</x:v>
      </x:c>
      <x:c r="C67" s="17" t="str">
        <x:v>MOWOL Cooperative</x:v>
      </x:c>
      <x:c r="D67" s="17"/>
      <x:c r="E67" s="17" t="str">
        <x:v>http://www.mowall.co.kr/</x:v>
      </x:c>
      <x:c r="F67" s="17" t="str">
        <x:v>모월, 모월 협동조합, 주담, 협동조합 모월, MOWOL Cooperative, 모월 로, 모월 인, 모월인</x:v>
      </x:c>
      <x:c r="G67" s="17" t="str">
        <x:v>대한민국</x:v>
      </x:c>
      <x:c r="H67" s="17" t="str">
        <x:v>강원도</x:v>
      </x:c>
      <x:c r="I67" s="17" t="str">
        <x:v>협동조합 모월(MOWOL Cooperative)은 대한민국 강원도에 기반을 둔 증류식 소주 제조사입니다. 대표 제품군에는 모월 로·모월 인·모월인 등이 포함됩니다. 제품 원료에는 쌀·누룩·국 등이 쓰이며, 원료 선택과 발효·증류 방식의 차이를 살려 제품별 개성을 구성하는 데 초점을 둡니다.</x:v>
      </x:c>
      <x:c r="J67" s="17" t="str">
        <x:v>협동조합 모월 (MOWOL Cooperative) is a distilled soju producer based in Gangwon-do, South Korea. Its core range includes 모월 로, 모월 인, 모월인. The range uses ingredients such as rice, nuruk or koji. Its portfolio emphasizes ingredient choice and differences in fermentation and distillation to give each expression a distinct identity.</x:v>
      </x:c>
      <x:c r="K67" s="17" t="str">
        <x:v>모월 로, 모월 인, 모월인</x:v>
      </x:c>
      <x:c r="L67" s="17" t="str">
        <x:v>증류식</x:v>
      </x:c>
      <x:c r="M67" s="17" t="str">
        <x:v>2026 조사 시점 공공 카탈로그 등재와 제조사·판매 페이지를 대조</x:v>
      </x:c>
      <x:c r="N67" s="17" t="str">
        <x:v>https://thesool.com/front/find/M000000082/view.do?productId=PR00000697</x:v>
      </x:c>
      <x:c r="O67" s="17" t="str">
        <x:v>http://www.mowall.co.kr/</x:v>
      </x:c>
      <x:c r="P67" s="17" t="str">
        <x:v>https://i.nts.go.kr/llsc/na/ntt/selectNttList.do?bbsId=22830&amp;mi=1511</x:v>
      </x:c>
      <x:c r="Q67" s="17" t="str">
        <x:v>B | 2개 출처 일치</x:v>
      </x:c>
      <x:c r="R67" s="17" t="str">
        <x:v>공식 설립연도 미확인</x:v>
      </x:c>
      <x:c r="S67" s="17" t="str">
        <x:v>공식 또는 널리 쓰이는 영문 표기</x:v>
      </x:c>
      <x:c r="T67" s="17" t="str">
        <x:v>등록 가능. 설립연도·공식 영문명은 공개 근거가 없으면 빈칸/권장 표기로 유지</x:v>
      </x:c>
    </x:row>
    <x:row r="68" ht="78" customHeight="1">
      <x:c r="A68" s="17" t="str">
        <x:v>OTHER</x:v>
      </x:c>
      <x:c r="B68" s="17" t="str">
        <x:v>화심주조</x:v>
      </x:c>
      <x:c r="C68" s="17" t="str">
        <x:v>Hwasimjujo Brewery</x:v>
      </x:c>
      <x:c r="D68" s="17"/>
      <x:c r="E68" s="17" t="str">
        <x:v>https://hwasimjujo.co.kr/</x:v>
      </x:c>
      <x:c r="F68" s="17" t="str">
        <x:v>화심주조, Hwasimjujo Brewery, 화심소주 군고구마</x:v>
      </x:c>
      <x:c r="G68" s="17" t="str">
        <x:v>대한민국</x:v>
      </x:c>
      <x:c r="H68" s="17" t="str">
        <x:v>경기도</x:v>
      </x:c>
      <x:c r="I68" s="17" t="str">
        <x:v>화심주조(Hwasimjujo Brewery)은 대한민국 경기도에 기반을 둔 증류식 소주 제조사입니다. 대표 제품군에는 화심소주 군고구마 등이 포함됩니다. 제품 원료에는 고구마 등이 쓰이며, 원료 선택과 발효·증류 방식의 차이를 살려 제품별 개성을 구성하는 데 초점을 둡니다.</x:v>
      </x:c>
      <x:c r="J68" s="17" t="str">
        <x:v>화심주조 (Hwasimjujo Brewery) is a distilled soju producer based in Gyeonggi-do, South Korea. Its core range includes 화심소주 군고구마. The range uses ingredients such as sweet potato. Its portfolio emphasizes ingredient choice and differences in fermentation and distillation to give each expression a distinct identity.</x:v>
      </x:c>
      <x:c r="K68" s="17" t="str">
        <x:v>화심소주 군고구마</x:v>
      </x:c>
      <x:c r="L68" s="17" t="str">
        <x:v>증류식</x:v>
      </x:c>
      <x:c r="M68" s="17" t="str">
        <x:v>2026 조사 시점 공공 카탈로그 등재와 제조사·판매 페이지를 대조</x:v>
      </x:c>
      <x:c r="N68" s="17" t="str">
        <x:v>https://thesool.com/front/find/M000000082/view.do?productId=PR00001248</x:v>
      </x:c>
      <x:c r="O68" s="17" t="str">
        <x:v>https://hwasimjujo.co.kr/</x:v>
      </x:c>
      <x:c r="P68" s="17" t="str"/>
      <x:c r="Q68" s="17" t="str">
        <x:v>B | 2개 출처 일치</x:v>
      </x:c>
      <x:c r="R68" s="17" t="str">
        <x:v>공식 설립연도 미확인</x:v>
      </x:c>
      <x:c r="S68" s="17" t="str">
        <x:v>권장 로마자 표기 — 등록 전 공식 표기 확인</x:v>
      </x:c>
      <x:c r="T68" s="17" t="str">
        <x:v>등록 가능. 설립연도·공식 영문명은 공개 근거가 없으면 빈칸/권장 표기로 유지</x:v>
      </x:c>
    </x:row>
    <x:row r="69" ht="78" customHeight="1">
      <x:c r="A69" s="17" t="str">
        <x:v>OTHER</x:v>
      </x:c>
      <x:c r="B69" s="17" t="str">
        <x:v>황금보리(유)농업회사법인</x:v>
      </x:c>
      <x:c r="C69" s="17" t="str">
        <x:v>Hwanggeumbori Brewery</x:v>
      </x:c>
      <x:c r="D69" s="17"/>
      <x:c r="E69" s="17" t="str">
        <x:v>http://www.xn--jj0bu4t8rc0w2b.com/</x:v>
      </x:c>
      <x:c r="F69" s="17" t="str">
        <x:v>황금보리(유)농업회사법인, 황금보리(유한), Hwanggeumbori Brewery, 황금보리 증류주 25, 황금보리주/40도, 황금보리주/25도, 황금보리주/17도</x:v>
      </x:c>
      <x:c r="G69" s="17" t="str">
        <x:v>대한민국</x:v>
      </x:c>
      <x:c r="H69" s="17" t="str">
        <x:v>충청남도</x:v>
      </x:c>
      <x:c r="I69" s="17" t="str">
        <x:v>황금보리(유)농업회사법인(Hwanggeumbori Brewery)은 대한민국 충청남도에 기반을 둔 증류식 소주 제조사입니다. 대표 제품군에는 황금보리 증류주 25·황금보리주/40도·황금보리주/25도·황금보리주/17도 등이 포함됩니다. 제품 원료에는 보리·누룩·국 등이 쓰이며, 원료 선택과 발효·증류 방식의 차이를 살려 제품별 개성을 구성하는 데 초점을 둡니다.</x:v>
      </x:c>
      <x:c r="J69" s="17" t="str">
        <x:v>황금보리(유)농업회사법인 (Hwanggeumbori Brewery) is a distilled soju producer based in Chungcheongnam-do, South Korea. Its core range includes 황금보리 증류주 25, 황금보리주/40도, 황금보리주/25도, 황금보리주/17도. The range uses ingredients such as barley, nuruk or koji. Its portfolio emphasizes ingredient choice and differences in fermentation and distillation to give each expression a distinct identity.</x:v>
      </x:c>
      <x:c r="K69" s="17" t="str">
        <x:v>황금보리 증류주 25, 황금보리주/40도, 황금보리주/25도, 황금보리주/17도</x:v>
      </x:c>
      <x:c r="L69" s="17" t="str">
        <x:v>증류식</x:v>
      </x:c>
      <x:c r="M69" s="17" t="str">
        <x:v>2026 조사 시점 공공 카탈로그 등재와 제조사·판매 페이지를 대조</x:v>
      </x:c>
      <x:c r="N69" s="17" t="str">
        <x:v>https://thesool.com/front/find/M000000082/view.do?productId=PR00000920</x:v>
      </x:c>
      <x:c r="O69" s="17" t="str">
        <x:v>http://www.xn--jj0bu4t8rc0w2b.com/</x:v>
      </x:c>
      <x:c r="P69" s="17" t="str">
        <x:v>https://i.nts.go.kr/llsc/na/ntt/selectNttList.do?bbsId=22830&amp;mi=1511</x:v>
      </x:c>
      <x:c r="Q69" s="17" t="str">
        <x:v>B | 2개 출처 일치</x:v>
      </x:c>
      <x:c r="R69" s="17" t="str">
        <x:v>공식 설립연도 미확인</x:v>
      </x:c>
      <x:c r="S69" s="17" t="str">
        <x:v>권장 로마자 표기 — 등록 전 공식 표기 확인</x:v>
      </x:c>
      <x:c r="T69" s="17" t="str">
        <x:v>등록 가능. 설립연도·공식 영문명은 공개 근거가 없으면 빈칸/권장 표기로 유지</x:v>
      </x:c>
    </x:row>
  </x:sheetData>
  <x:mergeCells>
    <x:mergeCell ref="A1:T1"/>
    <x:mergeCell ref="A2:T2"/>
  </x:mergeCells>
  <x:conditionalFormatting sqref="Q5:Q69">
    <x:cfRule type="beginsWith" dxfId="0" priority="1" operator="beginsWith" text="A |"/>
    <x:cfRule type="beginsWith" dxfId="1" priority="2" operator="beginsWith" text="B |"/>
    <x:cfRule type="beginsWith" dxfId="2" priority="3" operator="beginsWith" text="C |"/>
    <x:cfRule type="beginsWith" dxfId="3" priority="4" operator="beginsWith" text="D |"/>
  </x:conditionalFormatting>
  <x:dataValidations count="3">
    <x:dataValidation type="list" sqref="A5:A69">
      <x:formula1>"OTHER"</x:formula1>
    </x:dataValidation>
    <x:dataValidation type="list" sqref="G5:G69">
      <x:formula1>"대한민국"</x:formula1>
    </x:dataValidation>
    <x:dataValidation type="list" sqref="Q5:Q69">
      <x:formula1>"A | 2026 공식 확인,A | 2026 활동 확인,B | 2개 출처 일치,C | 공공자료 확인,D | 품목 확인 필요"</x:formula1>
    </x:dataValidation>
  </x:dataValidations>
  <x:pageMargins left="0.7" right="0.7" top="0.75" bottom="0.75" header="0.3" footer="0.3"/>
  <x:tableParts count="1">
    <x:tablePart xmlns:r="http://schemas.openxmlformats.org/officeDocument/2006/relationships" r:id="Rda43f453a8364f5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7" hidden="0" customWidth="1"/>
    <x:col min="3" max="3" width="33" hidden="0" customWidth="1"/>
    <x:col min="4" max="4" width="11" hidden="0" customWidth="1"/>
    <x:col min="5" max="5" width="34" hidden="0" customWidth="1"/>
    <x:col min="6" max="6" width="45" hidden="0" customWidth="1"/>
    <x:col min="7" max="7" width="12" hidden="0" customWidth="1"/>
    <x:col min="8" max="8" width="14" hidden="0" customWidth="1"/>
    <x:col min="9" max="9" width="58" hidden="0" customWidth="1"/>
    <x:col min="10" max="10" width="58" hidden="0" customWidth="1"/>
    <x:col min="11" max="11" width="38" hidden="0" customWidth="1"/>
    <x:col min="12" max="12" width="16" hidden="0" customWidth="1"/>
    <x:col min="13" max="13" width="38" hidden="0" customWidth="1"/>
    <x:col min="14" max="14" width="44" hidden="0" customWidth="1"/>
    <x:col min="15" max="15" width="44" hidden="0" customWidth="1"/>
    <x:col min="16" max="16" width="44" hidden="0" customWidth="1"/>
    <x:col min="17" max="17" width="22" hidden="0" customWidth="1"/>
    <x:col min="18" max="18" width="34" hidden="0" customWidth="1"/>
    <x:col min="19" max="19" width="28" hidden="0" customWidth="1"/>
    <x:col min="20" max="20" width="42" hidden="0" customWidth="1"/>
  </x:cols>
  <x:sheetData>
    <x:row r="1" ht="32" customHeight="1">
      <x:c r="A1" s="3" t="str">
        <x:v>대한민국 소주 제조사 — 검토 필요 후보</x:v>
      </x:c>
      <x:c r="B1" s="3"/>
      <x:c r="C1" s="3"/>
      <x:c r="D1" s="3"/>
      <x:c r="E1" s="3"/>
      <x:c r="F1" s="3"/>
      <x:c r="G1" s="3"/>
      <x:c r="H1" s="3"/>
      <x:c r="I1" s="3"/>
      <x:c r="J1" s="3"/>
      <x:c r="K1" s="3"/>
      <x:c r="L1" s="3"/>
      <x:c r="M1" s="3"/>
      <x:c r="N1" s="3"/>
      <x:c r="O1" s="3"/>
      <x:c r="P1" s="3"/>
      <x:c r="Q1" s="3"/>
      <x:c r="R1" s="3"/>
      <x:c r="S1" s="3"/>
      <x:c r="T1" s="3"/>
    </x:row>
    <x:row r="2" ht="38" customHeight="1">
      <x:c r="A2" s="7" t="str">
        <x:v>공공 목록에는 있으나 2026 생산·판매 지속 여부 또는 법정 주종을 추가 확인해야 하는 27개사</x:v>
      </x:c>
      <x:c r="B2" s="7"/>
      <x:c r="C2" s="7"/>
      <x:c r="D2" s="7"/>
      <x:c r="E2" s="7"/>
      <x:c r="F2" s="7"/>
      <x:c r="G2" s="7"/>
      <x:c r="H2" s="7"/>
      <x:c r="I2" s="7"/>
      <x:c r="J2" s="7"/>
      <x:c r="K2" s="7"/>
      <x:c r="L2" s="7"/>
      <x:c r="M2" s="7"/>
      <x:c r="N2" s="7"/>
      <x:c r="O2" s="7"/>
      <x:c r="P2" s="7"/>
      <x:c r="Q2" s="7"/>
      <x:c r="R2" s="7"/>
      <x:c r="S2" s="7"/>
      <x:c r="T2" s="7"/>
    </x:row>
    <x:row r="4" ht="36" customHeight="1">
      <x:c r="A4" s="13" t="str">
        <x:v>생산자 종류</x:v>
      </x:c>
      <x:c r="B4" s="13" t="str">
        <x:v>한국어명</x:v>
      </x:c>
      <x:c r="C4" s="13" t="str">
        <x:v>영어명</x:v>
      </x:c>
      <x:c r="D4" s="13" t="str">
        <x:v>설립연도</x:v>
      </x:c>
      <x:c r="E4" s="13" t="str">
        <x:v>웹사이트</x:v>
      </x:c>
      <x:c r="F4" s="13" t="str">
        <x:v>검색 별칭</x:v>
      </x:c>
      <x:c r="G4" s="13" t="str">
        <x:v>국가</x:v>
      </x:c>
      <x:c r="H4" s="13" t="str">
        <x:v>지역</x:v>
      </x:c>
      <x:c r="I4" s="13" t="str">
        <x:v>소개 (한국어)</x:v>
      </x:c>
      <x:c r="J4" s="13" t="str">
        <x:v>소개 (영어)</x:v>
      </x:c>
      <x:c r="K4" s="13" t="str">
        <x:v>대표 소주 제품</x:v>
      </x:c>
      <x:c r="L4" s="13" t="str">
        <x:v>소주 유형</x:v>
      </x:c>
      <x:c r="M4" s="13" t="str">
        <x:v>2026 활동 근거</x:v>
      </x:c>
      <x:c r="N4" s="13" t="str">
        <x:v>출처 1 URL</x:v>
      </x:c>
      <x:c r="O4" s="13" t="str">
        <x:v>출처 2 URL</x:v>
      </x:c>
      <x:c r="P4" s="13" t="str">
        <x:v>출처 3 URL</x:v>
      </x:c>
      <x:c r="Q4" s="13" t="str">
        <x:v>교차검증 상태</x:v>
      </x:c>
      <x:c r="R4" s="13" t="str">
        <x:v>설립연도 근거·주의</x:v>
      </x:c>
      <x:c r="S4" s="13" t="str">
        <x:v>영문명 표기</x:v>
      </x:c>
      <x:c r="T4" s="13" t="str">
        <x:v>등록 전 검토 메모</x:v>
      </x:c>
    </x:row>
    <x:row r="5" ht="78" customHeight="1">
      <x:c r="A5" s="17" t="str">
        <x:v>OTHER</x:v>
      </x:c>
      <x:c r="B5" s="17" t="str">
        <x:v>(농)(유)대마주조</x:v>
      </x:c>
      <x:c r="C5" s="17" t="str">
        <x:v>Daemajujo Brewery</x:v>
      </x:c>
      <x:c r="D5" s="17"/>
      <x:c r="E5" s="17" t="str"/>
      <x:c r="F5" s="17" t="str">
        <x:v>(농)(유)대마주조, Daemajujo Brewery, 톡 한잔 소주</x:v>
      </x:c>
      <x:c r="G5" s="17" t="str">
        <x:v>대한민국</x:v>
      </x:c>
      <x:c r="H5" s="17" t="str">
        <x:v>전라남도</x:v>
      </x:c>
      <x:c r="I5" s="17" t="str">
        <x:v>(농)(유)대마주조(Daemajujo Brewery)은 대한민국 전라남도에 기반을 둔 증류식 소주 제조사입니다. 대표 제품군에는 톡 한잔 소주 등이 포함됩니다. 제품 원료에는 쌀·보리 등이 쓰이며, 원료 선택과 발효·증류 방식의 차이를 살려 제품별 개성을 구성하는 데 초점을 둡니다.</x:v>
      </x:c>
      <x:c r="J5" s="17" t="str">
        <x:v>(농)(유)대마주조 (Daemajujo Brewery) is a distilled soju producer based in Jeollanam-do, South Korea. Its core range includes 톡 한잔 소주. The range uses ingredients such as rice, barley. Its portfolio emphasizes ingredient choice and differences in fermentation and distillation to give each expression a distinct identity.</x:v>
      </x:c>
      <x:c r="K5" s="17" t="str">
        <x:v>톡 한잔 소주</x:v>
      </x:c>
      <x:c r="L5" s="17" t="str">
        <x:v>증류식</x:v>
      </x:c>
      <x:c r="M5" s="17" t="str">
        <x:v>공공 제품 목록 등재 확인; 2026 독립 판매 근거 추가 확인 필요</x:v>
      </x:c>
      <x:c r="N5" s="17" t="str">
        <x:v>https://thesool.com/front/find/M000000082/view.do?productId=PR00000584</x:v>
      </x:c>
      <x:c r="O5" s="17" t="str"/>
      <x:c r="P5" s="17" t="str"/>
      <x:c r="Q5" s="17" t="str">
        <x:v>C | 공공자료 확인</x:v>
      </x:c>
      <x:c r="R5" s="17" t="str">
        <x:v>공식 설립연도 미확인</x:v>
      </x:c>
      <x:c r="S5" s="17" t="str">
        <x:v>권장 로마자 표기 — 등록 전 공식 표기 확인</x:v>
      </x:c>
      <x:c r="T5" s="17" t="str">
        <x:v>제조사에 생산·판매 지속 여부를 확인한 뒤 등록 권장</x:v>
      </x:c>
    </x:row>
    <x:row r="6" ht="78" customHeight="1">
      <x:c r="A6" s="17" t="str">
        <x:v>OTHER</x:v>
      </x:c>
      <x:c r="B6" s="17" t="str">
        <x:v>(유한)대마주조</x:v>
      </x:c>
      <x:c r="C6" s="17" t="str">
        <x:v>Yuhan Daemajujo Brewery</x:v>
      </x:c>
      <x:c r="D6" s="17"/>
      <x:c r="E6" s="17" t="str"/>
      <x:c r="F6" s="17" t="str">
        <x:v>(유한)대마주조, Yuhan Daemajujo Brewery, 톡한잔소주</x:v>
      </x:c>
      <x:c r="G6" s="17" t="str">
        <x:v>대한민국</x:v>
      </x:c>
      <x:c r="H6" s="17" t="str"/>
      <x:c r="I6" s="17" t="str">
        <x:v>(유한)대마주조(Yuhan Daemajujo Brewery)은 대한민국에 기반을 둔 증류식 소주 제조사입니다. 대표 제품군에는 톡한잔소주 등이 포함됩니다. 원료 선택과 발효·증류 방식의 차이를 살려 제품별 개성을 구성하는 데 초점을 둡니다.</x:v>
      </x:c>
      <x:c r="J6" s="17" t="str">
        <x:v>(유한)대마주조 (Yuhan Daemajujo Brewery) is a distilled soju producer operating in South Korea. Its core range includes 톡한잔소주. Its portfolio emphasizes ingredient choice and differences in fermentation and distillation to give each expression a distinct identity.</x:v>
      </x:c>
      <x:c r="K6" s="17" t="str">
        <x:v>톡한잔소주</x:v>
      </x:c>
      <x:c r="L6" s="17" t="str">
        <x:v>증류식</x:v>
      </x:c>
      <x:c r="M6" s="17" t="str">
        <x:v>공공 제품 목록 등재 확인; 2026 독립 판매 근거 추가 확인 필요</x:v>
      </x:c>
      <x:c r="N6" s="17" t="str">
        <x:v>https://i.nts.go.kr/llsc/na/ntt/selectNttList.do?bbsId=22830&amp;mi=1511</x:v>
      </x:c>
      <x:c r="O6" s="17" t="str"/>
      <x:c r="P6" s="17" t="str"/>
      <x:c r="Q6" s="17" t="str">
        <x:v>C | 공공자료 확인</x:v>
      </x:c>
      <x:c r="R6" s="17" t="str">
        <x:v>공식 설립연도 미확인</x:v>
      </x:c>
      <x:c r="S6" s="17" t="str">
        <x:v>권장 로마자 표기 — 등록 전 공식 표기 확인</x:v>
      </x:c>
      <x:c r="T6" s="17" t="str">
        <x:v>제조사에 생산·판매 지속 여부를 확인한 뒤 등록 권장</x:v>
      </x:c>
    </x:row>
    <x:row r="7" ht="78" customHeight="1">
      <x:c r="A7" s="17" t="str">
        <x:v>OTHER</x:v>
      </x:c>
      <x:c r="B7" s="17" t="str">
        <x:v>㈜배상면주가</x:v>
      </x:c>
      <x:c r="C7" s="17" t="str">
        <x:v>Bae Sang Myun Brewery Co., Ltd.</x:v>
      </x:c>
      <x:c r="D7" s="17"/>
      <x:c r="E7" s="17" t="str"/>
      <x:c r="F7" s="17" t="str">
        <x:v>농업회사법인배상면주가고창LB(주), ㈜배상면주가, Bae Sang Myun Brewery Co., Ltd., 느린마을소주</x:v>
      </x:c>
      <x:c r="G7" s="17" t="str">
        <x:v>대한민국</x:v>
      </x:c>
      <x:c r="H7" s="17" t="str"/>
      <x:c r="I7" s="17" t="str">
        <x:v>㈜배상면주가(Bae Sang Myun Brewery Co., Ltd.)은 대한민국에 기반을 둔 증류식 소주 제조사입니다. 대표 제품군에는 느린마을소주 등이 포함됩니다. 원료 선택과 발효·증류 방식의 차이를 살려 제품별 개성을 구성하는 데 초점을 둡니다.</x:v>
      </x:c>
      <x:c r="J7" s="17" t="str">
        <x:v>㈜배상면주가 (Bae Sang Myun Brewery Co., Ltd.) is a distilled soju producer operating in South Korea. Its core range includes 느린마을소주. Its portfolio emphasizes ingredient choice and differences in fermentation and distillation to give each expression a distinct identity.</x:v>
      </x:c>
      <x:c r="K7" s="17" t="str">
        <x:v>느린마을소주</x:v>
      </x:c>
      <x:c r="L7" s="17" t="str">
        <x:v>증류식</x:v>
      </x:c>
      <x:c r="M7" s="17" t="str">
        <x:v>공공 제품 목록 등재 확인; 2026 독립 판매 근거 추가 확인 필요</x:v>
      </x:c>
      <x:c r="N7" s="17" t="str">
        <x:v>https://i.nts.go.kr/llsc/na/ntt/selectNttList.do?bbsId=22830&amp;mi=1511</x:v>
      </x:c>
      <x:c r="O7" s="17" t="str"/>
      <x:c r="P7" s="17" t="str"/>
      <x:c r="Q7" s="17" t="str">
        <x:v>C | 공공자료 확인</x:v>
      </x:c>
      <x:c r="R7" s="17" t="str">
        <x:v>공식 설립연도 미확인</x:v>
      </x:c>
      <x:c r="S7" s="17" t="str">
        <x:v>공식 또는 널리 쓰이는 영문 표기</x:v>
      </x:c>
      <x:c r="T7" s="17" t="str">
        <x:v>제조사에 생산·판매 지속 여부를 확인한 뒤 등록 권장</x:v>
      </x:c>
    </x:row>
    <x:row r="8" ht="78" customHeight="1">
      <x:c r="A8" s="17" t="str">
        <x:v>OTHER</x:v>
      </x:c>
      <x:c r="B8" s="17" t="str">
        <x:v>㈜삼해소주</x:v>
      </x:c>
      <x:c r="C8" s="17" t="str">
        <x:v>Samhaesoju Brewery</x:v>
      </x:c>
      <x:c r="D8" s="17"/>
      <x:c r="E8" s="17" t="str"/>
      <x:c r="F8" s="17" t="str">
        <x:v>(주)삼해소주, ㈜삼해소주, Samhaesoju Brewery, 삼해소주</x:v>
      </x:c>
      <x:c r="G8" s="17" t="str">
        <x:v>대한민국</x:v>
      </x:c>
      <x:c r="H8" s="17" t="str"/>
      <x:c r="I8" s="17" t="str">
        <x:v>㈜삼해소주(Samhaesoju Brewery)은 대한민국에 기반을 둔 증류식 소주 제조사입니다. 대표 제품군에는 삼해소주 등이 포함됩니다. 원료 선택과 발효·증류 방식의 차이를 살려 제품별 개성을 구성하는 데 초점을 둡니다.</x:v>
      </x:c>
      <x:c r="J8" s="17" t="str">
        <x:v>㈜삼해소주 (Samhaesoju Brewery) is a distilled soju producer operating in South Korea. Its core range includes 삼해소주. Its portfolio emphasizes ingredient choice and differences in fermentation and distillation to give each expression a distinct identity.</x:v>
      </x:c>
      <x:c r="K8" s="17" t="str">
        <x:v>삼해소주</x:v>
      </x:c>
      <x:c r="L8" s="17" t="str">
        <x:v>증류식</x:v>
      </x:c>
      <x:c r="M8" s="17" t="str">
        <x:v>공공 제품 목록 등재 확인; 2026 독립 판매 근거 추가 확인 필요</x:v>
      </x:c>
      <x:c r="N8" s="17" t="str">
        <x:v>https://i.nts.go.kr/llsc/na/ntt/selectNttList.do?bbsId=22830&amp;mi=1511</x:v>
      </x:c>
      <x:c r="O8" s="17" t="str"/>
      <x:c r="P8" s="17" t="str"/>
      <x:c r="Q8" s="17" t="str">
        <x:v>C | 공공자료 확인</x:v>
      </x:c>
      <x:c r="R8" s="17" t="str">
        <x:v>공식 설립연도 미확인</x:v>
      </x:c>
      <x:c r="S8" s="17" t="str">
        <x:v>권장 로마자 표기 — 등록 전 공식 표기 확인</x:v>
      </x:c>
      <x:c r="T8" s="17" t="str">
        <x:v>제조사에 생산·판매 지속 여부를 확인한 뒤 등록 권장</x:v>
      </x:c>
    </x:row>
    <x:row r="9" ht="78" customHeight="1">
      <x:c r="A9" s="17" t="str">
        <x:v>OTHER</x:v>
      </x:c>
      <x:c r="B9" s="17" t="str">
        <x:v>농업회사법인 ㈜스마트브루어리</x:v>
      </x:c>
      <x:c r="C9" s="17" t="str">
        <x:v>Seumateubeurueori Brewery</x:v>
      </x:c>
      <x:c r="D9" s="17"/>
      <x:c r="E9" s="17" t="str"/>
      <x:c r="F9" s="17" t="str">
        <x:v>농업회사법인(주)스마트브루어리, 농업회사법인 ㈜스마트브루어리, Seumateubeurueori Brewery, 증류식소주마한, 청람, 순쌀소주 에스원</x:v>
      </x:c>
      <x:c r="G9" s="17" t="str">
        <x:v>대한민국</x:v>
      </x:c>
      <x:c r="H9" s="17" t="str"/>
      <x:c r="I9" s="17" t="str">
        <x:v>농업회사법인 ㈜스마트브루어리(Seumateubeurueori Brewery)은 대한민국에 기반을 둔 증류식 소주 제조사입니다. 대표 제품군에는 증류식소주마한·청람·순쌀소주 에스원 등이 포함됩니다. 원료 선택과 발효·증류 방식의 차이를 살려 제품별 개성을 구성하는 데 초점을 둡니다.</x:v>
      </x:c>
      <x:c r="J9" s="17" t="str">
        <x:v>농업회사법인 ㈜스마트브루어리 (Seumateubeurueori Brewery) is a distilled soju producer operating in South Korea. Its core range includes 증류식소주마한, 청람, 순쌀소주 에스원. Its portfolio emphasizes ingredient choice and differences in fermentation and distillation to give each expression a distinct identity.</x:v>
      </x:c>
      <x:c r="K9" s="17" t="str">
        <x:v>증류식소주마한, 청람, 순쌀소주 에스원</x:v>
      </x:c>
      <x:c r="L9" s="17" t="str">
        <x:v>증류식</x:v>
      </x:c>
      <x:c r="M9" s="17" t="str">
        <x:v>공공 제품 목록 등재 확인; 2026 독립 판매 근거 추가 확인 필요</x:v>
      </x:c>
      <x:c r="N9" s="17" t="str">
        <x:v>https://i.nts.go.kr/llsc/na/ntt/selectNttList.do?bbsId=22830&amp;mi=1511</x:v>
      </x:c>
      <x:c r="O9" s="17" t="str"/>
      <x:c r="P9" s="17" t="str"/>
      <x:c r="Q9" s="17" t="str">
        <x:v>C | 공공자료 확인</x:v>
      </x:c>
      <x:c r="R9" s="17" t="str">
        <x:v>공식 설립연도 미확인</x:v>
      </x:c>
      <x:c r="S9" s="17" t="str">
        <x:v>권장 로마자 표기 — 등록 전 공식 표기 확인</x:v>
      </x:c>
      <x:c r="T9" s="17" t="str">
        <x:v>제조사에 생산·판매 지속 여부를 확인한 뒤 등록 권장</x:v>
      </x:c>
    </x:row>
    <x:row r="10" ht="78" customHeight="1">
      <x:c r="A10" s="17" t="str">
        <x:v>OTHER</x:v>
      </x:c>
      <x:c r="B10" s="17" t="str">
        <x:v>농업회사법인 송도향(유)</x:v>
      </x:c>
      <x:c r="C10" s="17" t="str">
        <x:v>Songdohyang Brewery</x:v>
      </x:c>
      <x:c r="D10" s="17"/>
      <x:c r="E10" s="17" t="str"/>
      <x:c r="F10" s="17" t="str">
        <x:v>농업회사법인송도향(유), 농업회사법인 송도향(유), Songdohyang Brewery, 삼양춘 소주35</x:v>
      </x:c>
      <x:c r="G10" s="17" t="str">
        <x:v>대한민국</x:v>
      </x:c>
      <x:c r="H10" s="17" t="str"/>
      <x:c r="I10" s="17" t="str">
        <x:v>농업회사법인 송도향(유)(Songdohyang Brewery)은 대한민국에 기반을 둔 증류식 소주 제조사입니다. 대표 제품군에는 삼양춘 소주35 등이 포함됩니다. 원료 선택과 발효·증류 방식의 차이를 살려 제품별 개성을 구성하는 데 초점을 둡니다.</x:v>
      </x:c>
      <x:c r="J10" s="17" t="str">
        <x:v>농업회사법인 송도향(유) (Songdohyang Brewery) is a distilled soju producer operating in South Korea. Its core range includes 삼양춘 소주35. Its portfolio emphasizes ingredient choice and differences in fermentation and distillation to give each expression a distinct identity.</x:v>
      </x:c>
      <x:c r="K10" s="17" t="str">
        <x:v>삼양춘 소주35</x:v>
      </x:c>
      <x:c r="L10" s="17" t="str">
        <x:v>증류식</x:v>
      </x:c>
      <x:c r="M10" s="17" t="str">
        <x:v>공공 제품 목록 등재 확인; 2026 독립 판매 근거 추가 확인 필요</x:v>
      </x:c>
      <x:c r="N10" s="17" t="str">
        <x:v>https://i.nts.go.kr/llsc/na/ntt/selectNttList.do?bbsId=22830&amp;mi=1511</x:v>
      </x:c>
      <x:c r="O10" s="17" t="str"/>
      <x:c r="P10" s="17" t="str"/>
      <x:c r="Q10" s="17" t="str">
        <x:v>C | 공공자료 확인</x:v>
      </x:c>
      <x:c r="R10" s="17" t="str">
        <x:v>공식 설립연도 미확인</x:v>
      </x:c>
      <x:c r="S10" s="17" t="str">
        <x:v>권장 로마자 표기 — 등록 전 공식 표기 확인</x:v>
      </x:c>
      <x:c r="T10" s="17" t="str">
        <x:v>제조사에 생산·판매 지속 여부를 확인한 뒤 등록 권장</x:v>
      </x:c>
    </x:row>
    <x:row r="11" ht="78" customHeight="1">
      <x:c r="A11" s="17" t="str">
        <x:v>OTHER</x:v>
      </x:c>
      <x:c r="B11" s="17" t="str">
        <x:v>민속주안동소주</x:v>
      </x:c>
      <x:c r="C11" s="17" t="str">
        <x:v>Minsokju Andong Soju</x:v>
      </x:c>
      <x:c r="D11" s="17"/>
      <x:c r="E11" s="17" t="str"/>
      <x:c r="F11" s="17" t="str">
        <x:v>민속주안동소주, Minsokju Andong Soju, 민속주 안동소주</x:v>
      </x:c>
      <x:c r="G11" s="17" t="str">
        <x:v>대한민국</x:v>
      </x:c>
      <x:c r="H11" s="17" t="str">
        <x:v>경상북도</x:v>
      </x:c>
      <x:c r="I11" s="17" t="str">
        <x:v>민속주안동소주(Minsokju Andong Soju)은 대한민국 경상북도에 기반을 둔 증류식 소주 제조사입니다. 대표 제품군에는 민속주 안동소주 등이 포함됩니다. 제품 원료에는 쌀·누룩·국 등이 쓰이며, 원료 선택과 발효·증류 방식의 차이를 살려 제품별 개성을 구성하는 데 초점을 둡니다.</x:v>
      </x:c>
      <x:c r="J11" s="17" t="str">
        <x:v>민속주안동소주 (Minsokju Andong Soju) is a distilled soju producer based in Gyeongsangbuk-do, South Korea. Its core range includes 민속주 안동소주. The range uses ingredients such as rice, nuruk or koji. Its portfolio emphasizes ingredient choice and differences in fermentation and distillation to give each expression a distinct identity.</x:v>
      </x:c>
      <x:c r="K11" s="17" t="str">
        <x:v>민속주 안동소주</x:v>
      </x:c>
      <x:c r="L11" s="17" t="str">
        <x:v>증류식</x:v>
      </x:c>
      <x:c r="M11" s="17" t="str">
        <x:v>공공 제품 목록 등재 확인; 2026 독립 판매 근거 추가 확인 필요</x:v>
      </x:c>
      <x:c r="N11" s="17" t="str">
        <x:v>https://thesool.com/front/find/M000000082/view.do?productId=PR00000491</x:v>
      </x:c>
      <x:c r="O11" s="17" t="str"/>
      <x:c r="P11" s="17" t="str"/>
      <x:c r="Q11" s="17" t="str">
        <x:v>C | 공공자료 확인</x:v>
      </x:c>
      <x:c r="R11" s="17" t="str">
        <x:v>공식 설립연도 미확인</x:v>
      </x:c>
      <x:c r="S11" s="17" t="str">
        <x:v>공식 또는 널리 쓰이는 영문 표기</x:v>
      </x:c>
      <x:c r="T11" s="17" t="str">
        <x:v>제조사에 생산·판매 지속 여부를 확인한 뒤 등록 권장</x:v>
      </x:c>
    </x:row>
    <x:row r="12" ht="78" customHeight="1">
      <x:c r="A12" s="17" t="str">
        <x:v>OTHER</x:v>
      </x:c>
      <x:c r="B12" s="17" t="str">
        <x:v>설악프로방스 배꽃마을 농업회사법인㈜</x:v>
      </x:c>
      <x:c r="C12" s="17" t="str">
        <x:v>Seolakpeurobangseu Baekkotmaeul Brewery</x:v>
      </x:c>
      <x:c r="D12" s="17"/>
      <x:c r="E12" s="17" t="str"/>
      <x:c r="F12" s="17" t="str">
        <x:v>설악프로방스배꽃마을, 설악프로방스 배꽃마을 농업회사법인(주), 설악프로방스 배꽃마을 농업회사법인㈜, Seolakpeurobangseu Baekkotmaeul Brewery, 독도소주, 동해소주, 설이소주</x:v>
      </x:c>
      <x:c r="G12" s="17" t="str">
        <x:v>대한민국</x:v>
      </x:c>
      <x:c r="H12" s="17" t="str">
        <x:v>강원도</x:v>
      </x:c>
      <x:c r="I12" s="17" t="str">
        <x:v>설악프로방스 배꽃마을 농업회사법인㈜(Seolakpeurobangseu Baekkotmaeul Brewery)은 대한민국 강원도에 기반을 둔 증류식 소주 제조사입니다. 대표 제품군에는 독도소주·동해소주·설이소주 등이 포함됩니다. 제품 원료에는 쌀 등이 쓰이며, 원료 선택과 발효·증류 방식의 차이를 살려 제품별 개성을 구성하는 데 초점을 둡니다.</x:v>
      </x:c>
      <x:c r="J12" s="17" t="str">
        <x:v>설악프로방스 배꽃마을 농업회사법인㈜ (Seolakpeurobangseu Baekkotmaeul Brewery) is a distilled soju producer based in Gangwon-do, South Korea. Its core range includes 독도소주, 동해소주, 설이소주. The range uses ingredients such as rice. Its portfolio emphasizes ingredient choice and differences in fermentation and distillation to give each expression a distinct identity.</x:v>
      </x:c>
      <x:c r="K12" s="17" t="str">
        <x:v>독도소주, 동해소주, 설이소주</x:v>
      </x:c>
      <x:c r="L12" s="17" t="str">
        <x:v>증류식</x:v>
      </x:c>
      <x:c r="M12" s="17" t="str">
        <x:v>공공 제품 목록 등재 확인; 2026 독립 판매 근거 추가 확인 필요</x:v>
      </x:c>
      <x:c r="N12" s="17" t="str">
        <x:v>https://thesool.com/front/find/M000000082/view.do?productId=PR00000852</x:v>
      </x:c>
      <x:c r="O12" s="17" t="str">
        <x:v>https://i.nts.go.kr/llsc/na/ntt/selectNttList.do?bbsId=22830&amp;mi=1511</x:v>
      </x:c>
      <x:c r="P12" s="17" t="str">
        <x:v>https://i.nts.go.kr/llsc/na/ntt/selectNttList.do?bbsId=22830&amp;mi=1511</x:v>
      </x:c>
      <x:c r="Q12" s="17" t="str">
        <x:v>C | 공공자료 확인</x:v>
      </x:c>
      <x:c r="R12" s="17" t="str">
        <x:v>공식 설립연도 미확인</x:v>
      </x:c>
      <x:c r="S12" s="17" t="str">
        <x:v>권장 로마자 표기 — 등록 전 공식 표기 확인</x:v>
      </x:c>
      <x:c r="T12" s="17" t="str">
        <x:v>제조사에 생산·판매 지속 여부를 확인한 뒤 등록 권장</x:v>
      </x:c>
    </x:row>
    <x:row r="13" ht="78" customHeight="1">
      <x:c r="A13" s="17" t="str">
        <x:v>OTHER</x:v>
      </x:c>
      <x:c r="B13" s="17" t="str">
        <x:v>전통주연구개발원</x:v>
      </x:c>
      <x:c r="C13" s="17" t="str">
        <x:v>Jeontongjuyeongugaebalwon Brewery</x:v>
      </x:c>
      <x:c r="D13" s="17"/>
      <x:c r="E13" s="17" t="str"/>
      <x:c r="F13" s="17" t="str">
        <x:v>전통주연구개발원, Jeontongjuyeongugaebalwon Brewery, 진주이슬</x:v>
      </x:c>
      <x:c r="G13" s="17" t="str">
        <x:v>대한민국</x:v>
      </x:c>
      <x:c r="H13" s="17" t="str"/>
      <x:c r="I13" s="17" t="str">
        <x:v>전통주연구개발원(Jeontongjuyeongugaebalwon Brewery)은 대한민국에 기반을 둔 증류식 소주 제조사입니다. 대표 제품군에는 진주이슬 등이 포함됩니다. 원료 선택과 발효·증류 방식의 차이를 살려 제품별 개성을 구성하는 데 초점을 둡니다.</x:v>
      </x:c>
      <x:c r="J13" s="17" t="str">
        <x:v>전통주연구개발원 (Jeontongjuyeongugaebalwon Brewery) is a distilled soju producer operating in South Korea. Its core range includes 진주이슬. Its portfolio emphasizes ingredient choice and differences in fermentation and distillation to give each expression a distinct identity.</x:v>
      </x:c>
      <x:c r="K13" s="17" t="str">
        <x:v>진주이슬</x:v>
      </x:c>
      <x:c r="L13" s="17" t="str">
        <x:v>증류식</x:v>
      </x:c>
      <x:c r="M13" s="17" t="str">
        <x:v>공공 제품 목록 등재 확인; 2026 독립 판매 근거 추가 확인 필요</x:v>
      </x:c>
      <x:c r="N13" s="17" t="str">
        <x:v>https://i.nts.go.kr/llsc/na/ntt/selectNttList.do?bbsId=22830&amp;mi=1511</x:v>
      </x:c>
      <x:c r="O13" s="17" t="str"/>
      <x:c r="P13" s="17" t="str"/>
      <x:c r="Q13" s="17" t="str">
        <x:v>C | 공공자료 확인</x:v>
      </x:c>
      <x:c r="R13" s="17" t="str">
        <x:v>공식 설립연도 미확인</x:v>
      </x:c>
      <x:c r="S13" s="17" t="str">
        <x:v>권장 로마자 표기 — 등록 전 공식 표기 확인</x:v>
      </x:c>
      <x:c r="T13" s="17" t="str">
        <x:v>제조사에 생산·판매 지속 여부를 확인한 뒤 등록 권장</x:v>
      </x:c>
    </x:row>
    <x:row r="14" ht="78" customHeight="1">
      <x:c r="A14" s="17" t="str">
        <x:v>OTHER</x:v>
      </x:c>
      <x:c r="B14" s="17" t="str">
        <x:v>지랜드 영농조합법인</x:v>
      </x:c>
      <x:c r="C14" s="17" t="str">
        <x:v>Jiraendeu Brewery</x:v>
      </x:c>
      <x:c r="D14" s="17"/>
      <x:c r="E14" s="17" t="str"/>
      <x:c r="F14" s="17" t="str">
        <x:v>지랜드 영농조합법인, Jiraendeu Brewery, 이화소주</x:v>
      </x:c>
      <x:c r="G14" s="17" t="str">
        <x:v>대한민국</x:v>
      </x:c>
      <x:c r="H14" s="17" t="str"/>
      <x:c r="I14" s="17" t="str">
        <x:v>지랜드 영농조합법인(Jiraendeu Brewery)은 대한민국에 기반을 둔 증류식 소주 제조사입니다. 대표 제품군에는 이화소주 등이 포함됩니다. 원료 선택과 발효·증류 방식의 차이를 살려 제품별 개성을 구성하는 데 초점을 둡니다.</x:v>
      </x:c>
      <x:c r="J14" s="17" t="str">
        <x:v>지랜드 영농조합법인 (Jiraendeu Brewery) is a distilled soju producer operating in South Korea. Its core range includes 이화소주. Its portfolio emphasizes ingredient choice and differences in fermentation and distillation to give each expression a distinct identity.</x:v>
      </x:c>
      <x:c r="K14" s="17" t="str">
        <x:v>이화소주</x:v>
      </x:c>
      <x:c r="L14" s="17" t="str">
        <x:v>증류식</x:v>
      </x:c>
      <x:c r="M14" s="17" t="str">
        <x:v>공공 제품 목록 등재 확인; 2026 독립 판매 근거 추가 확인 필요</x:v>
      </x:c>
      <x:c r="N14" s="17" t="str">
        <x:v>https://i.nts.go.kr/llsc/na/ntt/selectNttList.do?bbsId=22830&amp;mi=1511</x:v>
      </x:c>
      <x:c r="O14" s="17" t="str"/>
      <x:c r="P14" s="17" t="str"/>
      <x:c r="Q14" s="17" t="str">
        <x:v>C | 공공자료 확인</x:v>
      </x:c>
      <x:c r="R14" s="17" t="str">
        <x:v>공식 설립연도 미확인</x:v>
      </x:c>
      <x:c r="S14" s="17" t="str">
        <x:v>권장 로마자 표기 — 등록 전 공식 표기 확인</x:v>
      </x:c>
      <x:c r="T14" s="17" t="str">
        <x:v>제조사에 생산·판매 지속 여부를 확인한 뒤 등록 권장</x:v>
      </x:c>
    </x:row>
    <x:row r="15" ht="78" customHeight="1">
      <x:c r="A15" s="17" t="str">
        <x:v>OTHER</x:v>
      </x:c>
      <x:c r="B15" s="17" t="str">
        <x:v>(주)국순당</x:v>
      </x:c>
      <x:c r="C15" s="17" t="str">
        <x:v>Guksundang Brewery</x:v>
      </x:c>
      <x:c r="D15" s="17"/>
      <x:c r="E15" s="17" t="str"/>
      <x:c r="F15" s="17" t="str">
        <x:v>(주)국순당, Guksundang Brewery, 가브리엘</x:v>
      </x:c>
      <x:c r="G15" s="17" t="str">
        <x:v>대한민국</x:v>
      </x:c>
      <x:c r="H15" s="17" t="str"/>
      <x:c r="I15" s="17" t="str">
        <x:v>(주)국순당(Guksundang Brewery)은 대한민국에 기반을 둔 증류식 소주 제조사입니다. 대표 제품군에는 가브리엘 등이 포함됩니다. 원료 선택과 발효·증류 방식의 차이를 살려 제품별 개성을 구성하는 데 초점을 둡니다.</x:v>
      </x:c>
      <x:c r="J15" s="17" t="str">
        <x:v>(주)국순당 (Guksundang Brewery) is a distilled soju producer operating in South Korea. Its core range includes 가브리엘. Its portfolio emphasizes ingredient choice and differences in fermentation and distillation to give each expression a distinct identity.</x:v>
      </x:c>
      <x:c r="K15" s="17" t="str">
        <x:v>가브리엘</x:v>
      </x:c>
      <x:c r="L15" s="17" t="str">
        <x:v>증류식</x:v>
      </x:c>
      <x:c r="M15" s="17" t="str">
        <x:v>증류주 목록에는 있으나 소주 법정 주종·2026 활동 여부 확인 필요</x:v>
      </x:c>
      <x:c r="N15" s="17" t="str">
        <x:v>https://i.nts.go.kr/llsc/na/ntt/selectNttList.do?bbsId=22830&amp;mi=1511</x:v>
      </x:c>
      <x:c r="O15" s="17" t="str"/>
      <x:c r="P15" s="17" t="str"/>
      <x:c r="Q15" s="17" t="str">
        <x:v>D | 품목 확인 필요</x:v>
      </x:c>
      <x:c r="R15" s="17" t="str">
        <x:v>공식 설립연도 미확인</x:v>
      </x:c>
      <x:c r="S15" s="17" t="str">
        <x:v>권장 로마자 표기 — 등록 전 공식 표기 확인</x:v>
      </x:c>
      <x:c r="T15" s="17" t="str">
        <x:v>제품 라벨 또는 품목제조보고의 주종이 ‘증류식소주’인지 확인 필요</x:v>
      </x:c>
    </x:row>
    <x:row r="16" ht="78" customHeight="1">
      <x:c r="A16" s="17" t="str">
        <x:v>OTHER</x:v>
      </x:c>
      <x:c r="B16" s="17" t="str">
        <x:v>(주)버버리찰떡</x:v>
      </x:c>
      <x:c r="C16" s="17" t="str">
        <x:v>Beobeorichaltteok Brewery</x:v>
      </x:c>
      <x:c r="D16" s="17"/>
      <x:c r="E16" s="17" t="str"/>
      <x:c r="F16" s="17" t="str">
        <x:v>(주)버버리찰떡, Beobeorichaltteok Brewery</x:v>
      </x:c>
      <x:c r="G16" s="17" t="str">
        <x:v>대한민국</x:v>
      </x:c>
      <x:c r="H16" s="17" t="str"/>
      <x:c r="I16" s="17" t="str">
        <x:v>(주)버버리찰떡(Beobeorichaltteok Brewery)은 대한민국에 기반을 둔 증류식 소주 제조사입니다. 대표 제품군에는 소주 등이 포함됩니다. 원료 선택과 발효·증류 방식의 차이를 살려 제품별 개성을 구성하는 데 초점을 둡니다.</x:v>
      </x:c>
      <x:c r="J16" s="17" t="str">
        <x:v>(주)버버리찰떡 (Beobeorichaltteok Brewery) is a distilled soju producer operating in South Korea. Its core range includes soju. Its portfolio emphasizes ingredient choice and differences in fermentation and distillation to give each expression a distinct identity.</x:v>
      </x:c>
      <x:c r="K16" s="17" t="str"/>
      <x:c r="L16" s="17" t="str">
        <x:v>증류식</x:v>
      </x:c>
      <x:c r="M16" s="17" t="str">
        <x:v>증류주 목록에는 있으나 소주 법정 주종·2026 활동 여부 확인 필요</x:v>
      </x:c>
      <x:c r="N16" s="17" t="str">
        <x:v>https://i.nts.go.kr/llsc/na/ntt/selectNttList.do?bbsId=22830&amp;mi=1511</x:v>
      </x:c>
      <x:c r="O16" s="17" t="str"/>
      <x:c r="P16" s="17" t="str"/>
      <x:c r="Q16" s="17" t="str">
        <x:v>D | 품목 확인 필요</x:v>
      </x:c>
      <x:c r="R16" s="17" t="str">
        <x:v>공식 설립연도 미확인</x:v>
      </x:c>
      <x:c r="S16" s="17" t="str">
        <x:v>권장 로마자 표기 — 등록 전 공식 표기 확인</x:v>
      </x:c>
      <x:c r="T16" s="17" t="str">
        <x:v>제품 라벨 또는 품목제조보고의 주종이 ‘증류식소주’인지 확인 필요</x:v>
      </x:c>
    </x:row>
    <x:row r="17" ht="78" customHeight="1">
      <x:c r="A17" s="17" t="str">
        <x:v>OTHER</x:v>
      </x:c>
      <x:c r="B17" s="17" t="str">
        <x:v>(주)성광주조</x:v>
      </x:c>
      <x:c r="C17" s="17" t="str">
        <x:v>Seonggwangjujo Brewery</x:v>
      </x:c>
      <x:c r="D17" s="17"/>
      <x:c r="E17" s="17" t="str"/>
      <x:c r="F17" s="17" t="str">
        <x:v>(주)성광주조, Seonggwangjujo Brewery, 순옥</x:v>
      </x:c>
      <x:c r="G17" s="17" t="str">
        <x:v>대한민국</x:v>
      </x:c>
      <x:c r="H17" s="17" t="str"/>
      <x:c r="I17" s="17" t="str">
        <x:v>(주)성광주조(Seonggwangjujo Brewery)은 대한민국에 기반을 둔 증류식 소주 제조사입니다. 대표 제품군에는 순옥 등이 포함됩니다. 원료 선택과 발효·증류 방식의 차이를 살려 제품별 개성을 구성하는 데 초점을 둡니다.</x:v>
      </x:c>
      <x:c r="J17" s="17" t="str">
        <x:v>(주)성광주조 (Seonggwangjujo Brewery) is a distilled soju producer operating in South Korea. Its core range includes 순옥. Its portfolio emphasizes ingredient choice and differences in fermentation and distillation to give each expression a distinct identity.</x:v>
      </x:c>
      <x:c r="K17" s="17" t="str">
        <x:v>순옥</x:v>
      </x:c>
      <x:c r="L17" s="17" t="str">
        <x:v>증류식</x:v>
      </x:c>
      <x:c r="M17" s="17" t="str">
        <x:v>증류주 목록에는 있으나 소주 법정 주종·2026 활동 여부 확인 필요</x:v>
      </x:c>
      <x:c r="N17" s="17" t="str">
        <x:v>https://i.nts.go.kr/llsc/na/ntt/selectNttList.do?bbsId=22830&amp;mi=1511</x:v>
      </x:c>
      <x:c r="O17" s="17" t="str"/>
      <x:c r="P17" s="17" t="str"/>
      <x:c r="Q17" s="17" t="str">
        <x:v>D | 품목 확인 필요</x:v>
      </x:c>
      <x:c r="R17" s="17" t="str">
        <x:v>공식 설립연도 미확인</x:v>
      </x:c>
      <x:c r="S17" s="17" t="str">
        <x:v>권장 로마자 표기 — 등록 전 공식 표기 확인</x:v>
      </x:c>
      <x:c r="T17" s="17" t="str">
        <x:v>제품 라벨 또는 품목제조보고의 주종이 ‘증류식소주’인지 확인 필요</x:v>
      </x:c>
    </x:row>
    <x:row r="18" ht="78" customHeight="1">
      <x:c r="A18" s="17" t="str">
        <x:v>OTHER</x:v>
      </x:c>
      <x:c r="B18" s="17" t="str">
        <x:v>(주)제주소주</x:v>
      </x:c>
      <x:c r="C18" s="17" t="str">
        <x:v>Jejusoju Brewery</x:v>
      </x:c>
      <x:c r="D18" s="17"/>
      <x:c r="E18" s="17" t="str"/>
      <x:c r="F18" s="17" t="str">
        <x:v>(주)제주소주, Jejusoju Brewery, 푸른밤짧은밤, 푸른밤긴밤</x:v>
      </x:c>
      <x:c r="G18" s="17" t="str">
        <x:v>대한민국</x:v>
      </x:c>
      <x:c r="H18" s="17" t="str"/>
      <x:c r="I18" s="17" t="str">
        <x:v>(주)제주소주(Jejusoju Brewery)은 대한민국에 기반을 둔 증류식 소주 제조사입니다. 대표 제품군에는 푸른밤짧은밤·푸른밤긴밤 등이 포함됩니다. 원료 선택과 발효·증류 방식의 차이를 살려 제품별 개성을 구성하는 데 초점을 둡니다.</x:v>
      </x:c>
      <x:c r="J18" s="17" t="str">
        <x:v>(주)제주소주 (Jejusoju Brewery) is a distilled soju producer operating in South Korea. Its core range includes 푸른밤짧은밤, 푸른밤긴밤. Its portfolio emphasizes ingredient choice and differences in fermentation and distillation to give each expression a distinct identity.</x:v>
      </x:c>
      <x:c r="K18" s="17" t="str">
        <x:v>푸른밤짧은밤, 푸른밤긴밤</x:v>
      </x:c>
      <x:c r="L18" s="17" t="str">
        <x:v>증류식</x:v>
      </x:c>
      <x:c r="M18" s="17" t="str">
        <x:v>증류주 목록에는 있으나 소주 법정 주종·2026 활동 여부 확인 필요</x:v>
      </x:c>
      <x:c r="N18" s="17" t="str">
        <x:v>https://i.nts.go.kr/llsc/na/ntt/selectNttList.do?bbsId=22830&amp;mi=1511</x:v>
      </x:c>
      <x:c r="O18" s="17" t="str"/>
      <x:c r="P18" s="17" t="str"/>
      <x:c r="Q18" s="17" t="str">
        <x:v>D | 품목 확인 필요</x:v>
      </x:c>
      <x:c r="R18" s="17" t="str">
        <x:v>공식 설립연도 미확인</x:v>
      </x:c>
      <x:c r="S18" s="17" t="str">
        <x:v>권장 로마자 표기 — 등록 전 공식 표기 확인</x:v>
      </x:c>
      <x:c r="T18" s="17" t="str">
        <x:v>제품 라벨 또는 품목제조보고의 주종이 ‘증류식소주’인지 확인 필요</x:v>
      </x:c>
    </x:row>
    <x:row r="19" ht="78" customHeight="1">
      <x:c r="A19" s="17" t="str">
        <x:v>OTHER</x:v>
      </x:c>
      <x:c r="B19" s="17" t="str">
        <x:v>내국양조</x:v>
      </x:c>
      <x:c r="C19" s="17" t="str">
        <x:v>Naegukyangjo Brewery</x:v>
      </x:c>
      <x:c r="D19" s="17"/>
      <x:c r="E19" s="17" t="str">
        <x:v>https://naekook.modoo.at/</x:v>
      </x:c>
      <x:c r="F19" s="17" t="str">
        <x:v>내국양조, Naegukyangjo Brewery, 하늘</x:v>
      </x:c>
      <x:c r="G19" s="17" t="str">
        <x:v>대한민국</x:v>
      </x:c>
      <x:c r="H19" s="17" t="str">
        <x:v>충청남도</x:v>
      </x:c>
      <x:c r="I19" s="17" t="str">
        <x:v>내국양조(Naegukyangjo Brewery)은 대한민국 충청남도에 기반을 둔 증류식 소주 제조사입니다. 대표 제품군에는 하늘 등이 포함됩니다. 제품 원료에는 보리 등이 쓰이며, 원료 선택과 발효·증류 방식의 차이를 살려 제품별 개성을 구성하는 데 초점을 둡니다.</x:v>
      </x:c>
      <x:c r="J19" s="17" t="str">
        <x:v>내국양조 (Naegukyangjo Brewery) is a distilled soju producer based in Chungcheongnam-do, South Korea. Its core range includes 하늘. The range uses ingredients such as barley. Its portfolio emphasizes ingredient choice and differences in fermentation and distillation to give each expression a distinct identity.</x:v>
      </x:c>
      <x:c r="K19" s="17" t="str">
        <x:v>하늘</x:v>
      </x:c>
      <x:c r="L19" s="17" t="str">
        <x:v>증류식</x:v>
      </x:c>
      <x:c r="M19" s="17" t="str">
        <x:v>증류주 목록에는 있으나 소주 법정 주종·2026 활동 여부 확인 필요</x:v>
      </x:c>
      <x:c r="N19" s="17" t="str">
        <x:v>https://thesool.com/front/find/M000000082/view.do?productId=PR00000895</x:v>
      </x:c>
      <x:c r="O19" s="17" t="str">
        <x:v>https://naekook.modoo.at/</x:v>
      </x:c>
      <x:c r="P19" s="17" t="str"/>
      <x:c r="Q19" s="17" t="str">
        <x:v>D | 품목 확인 필요</x:v>
      </x:c>
      <x:c r="R19" s="17" t="str">
        <x:v>공식 설립연도 미확인</x:v>
      </x:c>
      <x:c r="S19" s="17" t="str">
        <x:v>권장 로마자 표기 — 등록 전 공식 표기 확인</x:v>
      </x:c>
      <x:c r="T19" s="17" t="str">
        <x:v>제품 라벨 또는 품목제조보고의 주종이 ‘증류식소주’인지 확인 필요</x:v>
      </x:c>
    </x:row>
    <x:row r="20" ht="78" customHeight="1">
      <x:c r="A20" s="17" t="str">
        <x:v>OTHER</x:v>
      </x:c>
      <x:c r="B20" s="17" t="str">
        <x:v>농업회사법인 명세주가㈜</x:v>
      </x:c>
      <x:c r="C20" s="17" t="str">
        <x:v>Myeongsejuga Brewery</x:v>
      </x:c>
      <x:c r="D20" s="17"/>
      <x:c r="E20" s="17" t="str"/>
      <x:c r="F20" s="17" t="str">
        <x:v>농업회사법인 명세주가(주), 명세주가(주), 농업회사법인 명세주가㈜, Myeongsejuga Brewery, 한시울</x:v>
      </x:c>
      <x:c r="G20" s="17" t="str">
        <x:v>대한민국</x:v>
      </x:c>
      <x:c r="H20" s="17" t="str"/>
      <x:c r="I20" s="17" t="str">
        <x:v>농업회사법인 명세주가㈜(Myeongsejuga Brewery)은 대한민국에 기반을 둔 증류식 소주 제조사입니다. 대표 제품군에는 한시울 등이 포함됩니다. 원료 선택과 발효·증류 방식의 차이를 살려 제품별 개성을 구성하는 데 초점을 둡니다.</x:v>
      </x:c>
      <x:c r="J20" s="17" t="str">
        <x:v>농업회사법인 명세주가㈜ (Myeongsejuga Brewery) is a distilled soju producer operating in South Korea. Its core range includes 한시울. Its portfolio emphasizes ingredient choice and differences in fermentation and distillation to give each expression a distinct identity.</x:v>
      </x:c>
      <x:c r="K20" s="17" t="str">
        <x:v>한시울</x:v>
      </x:c>
      <x:c r="L20" s="17" t="str">
        <x:v>증류식</x:v>
      </x:c>
      <x:c r="M20" s="17" t="str">
        <x:v>증류주 목록에는 있으나 소주 법정 주종·2026 활동 여부 확인 필요</x:v>
      </x:c>
      <x:c r="N20" s="17" t="str">
        <x:v>https://i.nts.go.kr/llsc/na/ntt/selectNttList.do?bbsId=22830&amp;mi=1511</x:v>
      </x:c>
      <x:c r="O20" s="17" t="str"/>
      <x:c r="P20" s="17" t="str"/>
      <x:c r="Q20" s="17" t="str">
        <x:v>D | 품목 확인 필요</x:v>
      </x:c>
      <x:c r="R20" s="17" t="str">
        <x:v>공식 설립연도 미확인</x:v>
      </x:c>
      <x:c r="S20" s="17" t="str">
        <x:v>권장 로마자 표기 — 등록 전 공식 표기 확인</x:v>
      </x:c>
      <x:c r="T20" s="17" t="str">
        <x:v>제품 라벨 또는 품목제조보고의 주종이 ‘증류식소주’인지 확인 필요</x:v>
      </x:c>
    </x:row>
    <x:row r="21" ht="78" customHeight="1">
      <x:c r="A21" s="17" t="str">
        <x:v>OTHER</x:v>
      </x:c>
      <x:c r="B21" s="17" t="str">
        <x:v>대윤가야곡주조(주)</x:v>
      </x:c>
      <x:c r="C21" s="17" t="str">
        <x:v>Daeyungayagokjujo Brewery</x:v>
      </x:c>
      <x:c r="D21" s="17"/>
      <x:c r="E21" s="17" t="str"/>
      <x:c r="F21" s="17" t="str">
        <x:v>대윤가야곡주조(주), Daeyungayagokjujo Brewery, 셀레온</x:v>
      </x:c>
      <x:c r="G21" s="17" t="str">
        <x:v>대한민국</x:v>
      </x:c>
      <x:c r="H21" s="17" t="str"/>
      <x:c r="I21" s="17" t="str">
        <x:v>대윤가야곡주조(주)(Daeyungayagokjujo Brewery)은 대한민국에 기반을 둔 증류식 소주 제조사입니다. 대표 제품군에는 셀레온 등이 포함됩니다. 원료 선택과 발효·증류 방식의 차이를 살려 제품별 개성을 구성하는 데 초점을 둡니다.</x:v>
      </x:c>
      <x:c r="J21" s="17" t="str">
        <x:v>대윤가야곡주조(주) (Daeyungayagokjujo Brewery) is a distilled soju producer operating in South Korea. Its core range includes 셀레온. Its portfolio emphasizes ingredient choice and differences in fermentation and distillation to give each expression a distinct identity.</x:v>
      </x:c>
      <x:c r="K21" s="17" t="str">
        <x:v>셀레온</x:v>
      </x:c>
      <x:c r="L21" s="17" t="str">
        <x:v>증류식</x:v>
      </x:c>
      <x:c r="M21" s="17" t="str">
        <x:v>증류주 목록에는 있으나 소주 법정 주종·2026 활동 여부 확인 필요</x:v>
      </x:c>
      <x:c r="N21" s="17" t="str">
        <x:v>https://i.nts.go.kr/llsc/na/ntt/selectNttList.do?bbsId=22830&amp;mi=1511</x:v>
      </x:c>
      <x:c r="O21" s="17" t="str"/>
      <x:c r="P21" s="17" t="str"/>
      <x:c r="Q21" s="17" t="str">
        <x:v>D | 품목 확인 필요</x:v>
      </x:c>
      <x:c r="R21" s="17" t="str">
        <x:v>공식 설립연도 미확인</x:v>
      </x:c>
      <x:c r="S21" s="17" t="str">
        <x:v>권장 로마자 표기 — 등록 전 공식 표기 확인</x:v>
      </x:c>
      <x:c r="T21" s="17" t="str">
        <x:v>제품 라벨 또는 품목제조보고의 주종이 ‘증류식소주’인지 확인 필요</x:v>
      </x:c>
    </x:row>
    <x:row r="22" ht="78" customHeight="1">
      <x:c r="A22" s="17" t="str">
        <x:v>OTHER</x:v>
      </x:c>
      <x:c r="B22" s="17" t="str">
        <x:v>두루(주)</x:v>
      </x:c>
      <x:c r="C22" s="17" t="str">
        <x:v>Duru Brewery</x:v>
      </x:c>
      <x:c r="D22" s="17"/>
      <x:c r="E22" s="17" t="str"/>
      <x:c r="F22" s="17" t="str">
        <x:v>두루(주), Duru Brewery, 용포53</x:v>
      </x:c>
      <x:c r="G22" s="17" t="str">
        <x:v>대한민국</x:v>
      </x:c>
      <x:c r="H22" s="17" t="str"/>
      <x:c r="I22" s="17" t="str">
        <x:v>두루(주)(Duru Brewery)은 대한민국에 기반을 둔 증류식 소주 제조사입니다. 대표 제품군에는 용포53 등이 포함됩니다. 원료 선택과 발효·증류 방식의 차이를 살려 제품별 개성을 구성하는 데 초점을 둡니다.</x:v>
      </x:c>
      <x:c r="J22" s="17" t="str">
        <x:v>두루(주) (Duru Brewery) is a distilled soju producer operating in South Korea. Its core range includes 용포53. Its portfolio emphasizes ingredient choice and differences in fermentation and distillation to give each expression a distinct identity.</x:v>
      </x:c>
      <x:c r="K22" s="17" t="str">
        <x:v>용포53</x:v>
      </x:c>
      <x:c r="L22" s="17" t="str">
        <x:v>증류식</x:v>
      </x:c>
      <x:c r="M22" s="17" t="str">
        <x:v>증류주 목록에는 있으나 소주 법정 주종·2026 활동 여부 확인 필요</x:v>
      </x:c>
      <x:c r="N22" s="17" t="str">
        <x:v>https://i.nts.go.kr/llsc/na/ntt/selectNttList.do?bbsId=22830&amp;mi=1511</x:v>
      </x:c>
      <x:c r="O22" s="17" t="str"/>
      <x:c r="P22" s="17" t="str"/>
      <x:c r="Q22" s="17" t="str">
        <x:v>D | 품목 확인 필요</x:v>
      </x:c>
      <x:c r="R22" s="17" t="str">
        <x:v>공식 설립연도 미확인</x:v>
      </x:c>
      <x:c r="S22" s="17" t="str">
        <x:v>권장 로마자 표기 — 등록 전 공식 표기 확인</x:v>
      </x:c>
      <x:c r="T22" s="17" t="str">
        <x:v>제품 라벨 또는 품목제조보고의 주종이 ‘증류식소주’인지 확인 필요</x:v>
      </x:c>
    </x:row>
    <x:row r="23" ht="78" customHeight="1">
      <x:c r="A23" s="17" t="str">
        <x:v>OTHER</x:v>
      </x:c>
      <x:c r="B23" s="17" t="str">
        <x:v>사곡양조원</x:v>
      </x:c>
      <x:c r="C23" s="17" t="str">
        <x:v>Sagokyangjowon Brewery</x:v>
      </x:c>
      <x:c r="D23" s="17"/>
      <x:c r="E23" s="17" t="str">
        <x:v>https://www.bamsul.com/</x:v>
      </x:c>
      <x:c r="F23" s="17" t="str">
        <x:v>사곡양조원, Sagokyangjowon Brewery, 왕율주</x:v>
      </x:c>
      <x:c r="G23" s="17" t="str">
        <x:v>대한민국</x:v>
      </x:c>
      <x:c r="H23" s="17" t="str">
        <x:v>충청남도</x:v>
      </x:c>
      <x:c r="I23" s="17" t="str">
        <x:v>사곡양조원(Sagokyangjowon Brewery)은 대한민국 충청남도에 기반을 둔 증류식 소주 제조사입니다. 대표 제품군에는 왕율주 등이 포함됩니다. 제품 원료에는 쌀·누룩·국 등이 쓰이며, 원료 선택과 발효·증류 방식의 차이를 살려 제품별 개성을 구성하는 데 초점을 둡니다.</x:v>
      </x:c>
      <x:c r="J23" s="17" t="str">
        <x:v>사곡양조원 (Sagokyangjowon Brewery) is a distilled soju producer based in Chungcheongnam-do, South Korea. Its core range includes 왕율주. The range uses ingredients such as rice, nuruk or koji. Its portfolio emphasizes ingredient choice and differences in fermentation and distillation to give each expression a distinct identity.</x:v>
      </x:c>
      <x:c r="K23" s="17" t="str">
        <x:v>왕율주</x:v>
      </x:c>
      <x:c r="L23" s="17" t="str">
        <x:v>증류식</x:v>
      </x:c>
      <x:c r="M23" s="17" t="str">
        <x:v>증류주 목록에는 있으나 소주 법정 주종·2026 활동 여부 확인 필요</x:v>
      </x:c>
      <x:c r="N23" s="17" t="str">
        <x:v>https://thesool.com/front/find/M000000082/view.do?productId=PR00000543</x:v>
      </x:c>
      <x:c r="O23" s="17" t="str">
        <x:v>https://www.bamsul.com/</x:v>
      </x:c>
      <x:c r="P23" s="17" t="str"/>
      <x:c r="Q23" s="17" t="str">
        <x:v>D | 품목 확인 필요</x:v>
      </x:c>
      <x:c r="R23" s="17" t="str">
        <x:v>공식 설립연도 미확인</x:v>
      </x:c>
      <x:c r="S23" s="17" t="str">
        <x:v>권장 로마자 표기 — 등록 전 공식 표기 확인</x:v>
      </x:c>
      <x:c r="T23" s="17" t="str">
        <x:v>제품 라벨 또는 품목제조보고의 주종이 ‘증류식소주’인지 확인 필요</x:v>
      </x:c>
    </x:row>
    <x:row r="24" ht="78" customHeight="1">
      <x:c r="A24" s="17" t="str">
        <x:v>OTHER</x:v>
      </x:c>
      <x:c r="B24" s="17" t="str">
        <x:v>삼수양조</x:v>
      </x:c>
      <x:c r="C24" s="17" t="str">
        <x:v>Samsuyangjo Brewery</x:v>
      </x:c>
      <x:c r="D24" s="17"/>
      <x:c r="E24" s="17" t="str"/>
      <x:c r="F24" s="17" t="str">
        <x:v>삼수양조, Samsuyangjo Brewery, 참샘</x:v>
      </x:c>
      <x:c r="G24" s="17" t="str">
        <x:v>대한민국</x:v>
      </x:c>
      <x:c r="H24" s="17" t="str"/>
      <x:c r="I24" s="17" t="str">
        <x:v>삼수양조(Samsuyangjo Brewery)은 대한민국에 기반을 둔 증류식 소주 제조사입니다. 대표 제품군에는 참샘 등이 포함됩니다. 원료 선택과 발효·증류 방식의 차이를 살려 제품별 개성을 구성하는 데 초점을 둡니다.</x:v>
      </x:c>
      <x:c r="J24" s="17" t="str">
        <x:v>삼수양조 (Samsuyangjo Brewery) is a distilled soju producer operating in South Korea. Its core range includes 참샘. Its portfolio emphasizes ingredient choice and differences in fermentation and distillation to give each expression a distinct identity.</x:v>
      </x:c>
      <x:c r="K24" s="17" t="str">
        <x:v>참샘</x:v>
      </x:c>
      <x:c r="L24" s="17" t="str">
        <x:v>증류식</x:v>
      </x:c>
      <x:c r="M24" s="17" t="str">
        <x:v>증류주 목록에는 있으나 소주 법정 주종·2026 활동 여부 확인 필요</x:v>
      </x:c>
      <x:c r="N24" s="17" t="str">
        <x:v>https://i.nts.go.kr/llsc/na/ntt/selectNttList.do?bbsId=22830&amp;mi=1511</x:v>
      </x:c>
      <x:c r="O24" s="17" t="str"/>
      <x:c r="P24" s="17" t="str"/>
      <x:c r="Q24" s="17" t="str">
        <x:v>D | 품목 확인 필요</x:v>
      </x:c>
      <x:c r="R24" s="17" t="str">
        <x:v>공식 설립연도 미확인</x:v>
      </x:c>
      <x:c r="S24" s="17" t="str">
        <x:v>권장 로마자 표기 — 등록 전 공식 표기 확인</x:v>
      </x:c>
      <x:c r="T24" s="17" t="str">
        <x:v>제품 라벨 또는 품목제조보고의 주종이 ‘증류식소주’인지 확인 필요</x:v>
      </x:c>
    </x:row>
    <x:row r="25" ht="78" customHeight="1">
      <x:c r="A25" s="17" t="str">
        <x:v>OTHER</x:v>
      </x:c>
      <x:c r="B25" s="17" t="str">
        <x:v>술아원</x:v>
      </x:c>
      <x:c r="C25" s="17" t="str">
        <x:v>Sulawon Brewery</x:v>
      </x:c>
      <x:c r="D25" s="17"/>
      <x:c r="E25" s="17" t="str">
        <x:v>http://soolawon.co.kr/</x:v>
      </x:c>
      <x:c r="F25" s="17" t="str">
        <x:v>술아원, Sulawon Brewery, 필 25</x:v>
      </x:c>
      <x:c r="G25" s="17" t="str">
        <x:v>대한민국</x:v>
      </x:c>
      <x:c r="H25" s="17" t="str">
        <x:v>경기도</x:v>
      </x:c>
      <x:c r="I25" s="17" t="str">
        <x:v>술아원(Sulawon Brewery)은 대한민국 경기도에 기반을 둔 증류식 소주 제조사입니다. 대표 제품군에는 필 25 등이 포함됩니다. 제품 원료에는 고구마 등이 쓰이며, 원료 선택과 발효·증류 방식의 차이를 살려 제품별 개성을 구성하는 데 초점을 둡니다.</x:v>
      </x:c>
      <x:c r="J25" s="17" t="str">
        <x:v>술아원 (Sulawon Brewery) is a distilled soju producer based in Gyeonggi-do, South Korea. Its core range includes 필 25. The range uses ingredients such as sweet potato. Its portfolio emphasizes ingredient choice and differences in fermentation and distillation to give each expression a distinct identity.</x:v>
      </x:c>
      <x:c r="K25" s="17" t="str">
        <x:v>필 25</x:v>
      </x:c>
      <x:c r="L25" s="17" t="str">
        <x:v>증류식</x:v>
      </x:c>
      <x:c r="M25" s="17" t="str">
        <x:v>증류주 목록에는 있으나 소주 법정 주종·2026 활동 여부 확인 필요</x:v>
      </x:c>
      <x:c r="N25" s="17" t="str">
        <x:v>https://thesool.com/front/find/M000000082/view.do?productId=PR00001313</x:v>
      </x:c>
      <x:c r="O25" s="17" t="str">
        <x:v>http://soolawon.co.kr/</x:v>
      </x:c>
      <x:c r="P25" s="17" t="str"/>
      <x:c r="Q25" s="17" t="str">
        <x:v>D | 품목 확인 필요</x:v>
      </x:c>
      <x:c r="R25" s="17" t="str">
        <x:v>공식 설립연도 미확인</x:v>
      </x:c>
      <x:c r="S25" s="17" t="str">
        <x:v>권장 로마자 표기 — 등록 전 공식 표기 확인</x:v>
      </x:c>
      <x:c r="T25" s="17" t="str">
        <x:v>제품 라벨 또는 품목제조보고의 주종이 ‘증류식소주’인지 확인 필요</x:v>
      </x:c>
    </x:row>
    <x:row r="26" ht="78" customHeight="1">
      <x:c r="A26" s="17" t="str">
        <x:v>OTHER</x:v>
      </x:c>
      <x:c r="B26" s="17" t="str">
        <x:v>예도</x:v>
      </x:c>
      <x:c r="C26" s="17" t="str">
        <x:v>Yedo Brewery</x:v>
      </x:c>
      <x:c r="D26" s="17"/>
      <x:c r="E26" s="17" t="str"/>
      <x:c r="F26" s="17" t="str">
        <x:v>예도, Yedo Brewery, 금장복주머니올로주</x:v>
      </x:c>
      <x:c r="G26" s="17" t="str">
        <x:v>대한민국</x:v>
      </x:c>
      <x:c r="H26" s="17" t="str"/>
      <x:c r="I26" s="17" t="str">
        <x:v>예도(Yedo Brewery)은 대한민국에 기반을 둔 증류식 소주 제조사입니다. 대표 제품군에는 금장복주머니올로주 등이 포함됩니다. 원료 선택과 발효·증류 방식의 차이를 살려 제품별 개성을 구성하는 데 초점을 둡니다.</x:v>
      </x:c>
      <x:c r="J26" s="17" t="str">
        <x:v>예도 (Yedo Brewery) is a distilled soju producer operating in South Korea. Its core range includes 금장복주머니올로주. Its portfolio emphasizes ingredient choice and differences in fermentation and distillation to give each expression a distinct identity.</x:v>
      </x:c>
      <x:c r="K26" s="17" t="str">
        <x:v>금장복주머니올로주</x:v>
      </x:c>
      <x:c r="L26" s="17" t="str">
        <x:v>증류식</x:v>
      </x:c>
      <x:c r="M26" s="17" t="str">
        <x:v>증류주 목록에는 있으나 소주 법정 주종·2026 활동 여부 확인 필요</x:v>
      </x:c>
      <x:c r="N26" s="17" t="str">
        <x:v>https://i.nts.go.kr/llsc/na/ntt/selectNttList.do?bbsId=22830&amp;mi=1511</x:v>
      </x:c>
      <x:c r="O26" s="17" t="str"/>
      <x:c r="P26" s="17" t="str"/>
      <x:c r="Q26" s="17" t="str">
        <x:v>D | 품목 확인 필요</x:v>
      </x:c>
      <x:c r="R26" s="17" t="str">
        <x:v>공식 설립연도 미확인</x:v>
      </x:c>
      <x:c r="S26" s="17" t="str">
        <x:v>권장 로마자 표기 — 등록 전 공식 표기 확인</x:v>
      </x:c>
      <x:c r="T26" s="17" t="str">
        <x:v>제품 라벨 또는 품목제조보고의 주종이 ‘증류식소주’인지 확인 필요</x:v>
      </x:c>
    </x:row>
    <x:row r="27" ht="78" customHeight="1">
      <x:c r="A27" s="17" t="str">
        <x:v>OTHER</x:v>
      </x:c>
      <x:c r="B27" s="17" t="str">
        <x:v>용두산조은술(영)</x:v>
      </x:c>
      <x:c r="C27" s="17" t="str">
        <x:v>Yongdusanjoeunsul Yeong Brewery</x:v>
      </x:c>
      <x:c r="D27" s="17"/>
      <x:c r="E27" s="17" t="str"/>
      <x:c r="F27" s="17" t="str">
        <x:v>용두산조은술(영), Yongdusanjoeunsul Yeong Brewery, 소나무와 학</x:v>
      </x:c>
      <x:c r="G27" s="17" t="str">
        <x:v>대한민국</x:v>
      </x:c>
      <x:c r="H27" s="17" t="str"/>
      <x:c r="I27" s="17" t="str">
        <x:v>용두산조은술(영)(Yongdusanjoeunsul Yeong Brewery)은 대한민국에 기반을 둔 증류식 소주 제조사입니다. 대표 제품군에는 소나무와 학 등이 포함됩니다. 제품 원료에는 쌀 등이 쓰이며, 원료 선택과 발효·증류 방식의 차이를 살려 제품별 개성을 구성하는 데 초점을 둡니다.</x:v>
      </x:c>
      <x:c r="J27" s="17" t="str">
        <x:v>용두산조은술(영) (Yongdusanjoeunsul Yeong Brewery) is a distilled soju producer operating in South Korea. Its core range includes 소나무와 학. The range uses ingredients such as rice. Its portfolio emphasizes ingredient choice and differences in fermentation and distillation to give each expression a distinct identity.</x:v>
      </x:c>
      <x:c r="K27" s="17" t="str">
        <x:v>소나무와 학</x:v>
      </x:c>
      <x:c r="L27" s="17" t="str">
        <x:v>증류식</x:v>
      </x:c>
      <x:c r="M27" s="17" t="str">
        <x:v>증류주 목록에는 있으나 소주 법정 주종·2026 활동 여부 확인 필요</x:v>
      </x:c>
      <x:c r="N27" s="17" t="str">
        <x:v>https://thesool.com/front/find/M000000082/view.do?productId=PR00000581</x:v>
      </x:c>
      <x:c r="O27" s="17" t="str"/>
      <x:c r="P27" s="17" t="str"/>
      <x:c r="Q27" s="17" t="str">
        <x:v>D | 품목 확인 필요</x:v>
      </x:c>
      <x:c r="R27" s="17" t="str">
        <x:v>공식 설립연도 미확인</x:v>
      </x:c>
      <x:c r="S27" s="17" t="str">
        <x:v>권장 로마자 표기 — 등록 전 공식 표기 확인</x:v>
      </x:c>
      <x:c r="T27" s="17" t="str">
        <x:v>제품 라벨 또는 품목제조보고의 주종이 ‘증류식소주’인지 확인 필요</x:v>
      </x:c>
    </x:row>
    <x:row r="28" ht="78" customHeight="1">
      <x:c r="A28" s="17" t="str">
        <x:v>OTHER</x:v>
      </x:c>
      <x:c r="B28" s="17" t="str">
        <x:v>이원양조장</x:v>
      </x:c>
      <x:c r="C28" s="17" t="str">
        <x:v>Iwonyangjojang Brewery</x:v>
      </x:c>
      <x:c r="D28" s="17"/>
      <x:c r="E28" s="17" t="str"/>
      <x:c r="F28" s="17" t="str">
        <x:v>이원양조장, Iwonyangjojang Brewery</x:v>
      </x:c>
      <x:c r="G28" s="17" t="str">
        <x:v>대한민국</x:v>
      </x:c>
      <x:c r="H28" s="17" t="str"/>
      <x:c r="I28" s="17" t="str">
        <x:v>이원양조장(Iwonyangjojang Brewery)은 대한민국에 기반을 둔 증류식 소주 제조사입니다. 대표 제품군에는 소주 등이 포함됩니다. 원료 선택과 발효·증류 방식의 차이를 살려 제품별 개성을 구성하는 데 초점을 둡니다.</x:v>
      </x:c>
      <x:c r="J28" s="17" t="str">
        <x:v>이원양조장 (Iwonyangjojang Brewery) is a distilled soju producer operating in South Korea. Its core range includes soju. Its portfolio emphasizes ingredient choice and differences in fermentation and distillation to give each expression a distinct identity.</x:v>
      </x:c>
      <x:c r="K28" s="17" t="str"/>
      <x:c r="L28" s="17" t="str">
        <x:v>증류식</x:v>
      </x:c>
      <x:c r="M28" s="17" t="str">
        <x:v>증류주 목록에는 있으나 소주 법정 주종·2026 활동 여부 확인 필요</x:v>
      </x:c>
      <x:c r="N28" s="17" t="str">
        <x:v>https://i.nts.go.kr/llsc/na/ntt/selectNttList.do?bbsId=22830&amp;mi=1511</x:v>
      </x:c>
      <x:c r="O28" s="17" t="str"/>
      <x:c r="P28" s="17" t="str"/>
      <x:c r="Q28" s="17" t="str">
        <x:v>D | 품목 확인 필요</x:v>
      </x:c>
      <x:c r="R28" s="17" t="str">
        <x:v>공식 설립연도 미확인</x:v>
      </x:c>
      <x:c r="S28" s="17" t="str">
        <x:v>권장 로마자 표기 — 등록 전 공식 표기 확인</x:v>
      </x:c>
      <x:c r="T28" s="17" t="str">
        <x:v>제품 라벨 또는 품목제조보고의 주종이 ‘증류식소주’인지 확인 필요</x:v>
      </x:c>
    </x:row>
    <x:row r="29" ht="78" customHeight="1">
      <x:c r="A29" s="17" t="str">
        <x:v>OTHER</x:v>
      </x:c>
      <x:c r="B29" s="17" t="str">
        <x:v>제주샘주</x:v>
      </x:c>
      <x:c r="C29" s="17" t="str">
        <x:v>Jejusaemju Brewery</x:v>
      </x:c>
      <x:c r="D29" s="17"/>
      <x:c r="E29" s="17" t="str">
        <x:v>http://www.jejusaemju.co.kr/</x:v>
      </x:c>
      <x:c r="F29" s="17" t="str">
        <x:v>제주샘주, Jejusaemju Brewery, 세우리</x:v>
      </x:c>
      <x:c r="G29" s="17" t="str">
        <x:v>대한민국</x:v>
      </x:c>
      <x:c r="H29" s="17" t="str">
        <x:v>제주도</x:v>
      </x:c>
      <x:c r="I29" s="17" t="str">
        <x:v>제주샘주(Jejusaemju Brewery)은 대한민국 제주도에 기반을 둔 증류식 소주 제조사입니다. 대표 제품군에는 세우리 등이 포함됩니다. 제품 원료에는 쌀 등이 쓰이며, 원료 선택과 발효·증류 방식의 차이를 살려 제품별 개성을 구성하는 데 초점을 둡니다.</x:v>
      </x:c>
      <x:c r="J29" s="17" t="str">
        <x:v>제주샘주 (Jejusaemju Brewery) is a distilled soju producer based in Jeju-do, South Korea. Its core range includes 세우리. The range uses ingredients such as rice. Its portfolio emphasizes ingredient choice and differences in fermentation and distillation to give each expression a distinct identity.</x:v>
      </x:c>
      <x:c r="K29" s="17" t="str">
        <x:v>세우리</x:v>
      </x:c>
      <x:c r="L29" s="17" t="str">
        <x:v>증류식</x:v>
      </x:c>
      <x:c r="M29" s="17" t="str">
        <x:v>증류주 목록에는 있으나 소주 법정 주종·2026 활동 여부 확인 필요</x:v>
      </x:c>
      <x:c r="N29" s="17" t="str">
        <x:v>https://thesool.com/front/find/M000000082/view.do?productId=PR00000553</x:v>
      </x:c>
      <x:c r="O29" s="17" t="str">
        <x:v>http://www.jejusaemju.co.kr/</x:v>
      </x:c>
      <x:c r="P29" s="17" t="str"/>
      <x:c r="Q29" s="17" t="str">
        <x:v>D | 품목 확인 필요</x:v>
      </x:c>
      <x:c r="R29" s="17" t="str">
        <x:v>공식 설립연도 미확인</x:v>
      </x:c>
      <x:c r="S29" s="17" t="str">
        <x:v>권장 로마자 표기 — 등록 전 공식 표기 확인</x:v>
      </x:c>
      <x:c r="T29" s="17" t="str">
        <x:v>제품 라벨 또는 품목제조보고의 주종이 ‘증류식소주’인지 확인 필요</x:v>
      </x:c>
    </x:row>
    <x:row r="30" ht="78" customHeight="1">
      <x:c r="A30" s="17" t="str">
        <x:v>OTHER</x:v>
      </x:c>
      <x:c r="B30" s="17" t="str">
        <x:v>화룡양조장</x:v>
      </x:c>
      <x:c r="C30" s="17" t="str">
        <x:v>Hwaryongyangjojang Brewery</x:v>
      </x:c>
      <x:c r="D30" s="17"/>
      <x:c r="E30" s="17" t="str"/>
      <x:c r="F30" s="17" t="str">
        <x:v>화룡양조장, Hwaryongyangjojang Brewery, 두만강곡주골드</x:v>
      </x:c>
      <x:c r="G30" s="17" t="str">
        <x:v>대한민국</x:v>
      </x:c>
      <x:c r="H30" s="17" t="str"/>
      <x:c r="I30" s="17" t="str">
        <x:v>화룡양조장(Hwaryongyangjojang Brewery)은 대한민국에 기반을 둔 증류식 소주 제조사입니다. 대표 제품군에는 두만강곡주골드 등이 포함됩니다. 원료 선택과 발효·증류 방식의 차이를 살려 제품별 개성을 구성하는 데 초점을 둡니다.</x:v>
      </x:c>
      <x:c r="J30" s="17" t="str">
        <x:v>화룡양조장 (Hwaryongyangjojang Brewery) is a distilled soju producer operating in South Korea. Its core range includes 두만강곡주골드. Its portfolio emphasizes ingredient choice and differences in fermentation and distillation to give each expression a distinct identity.</x:v>
      </x:c>
      <x:c r="K30" s="17" t="str">
        <x:v>두만강곡주골드</x:v>
      </x:c>
      <x:c r="L30" s="17" t="str">
        <x:v>증류식</x:v>
      </x:c>
      <x:c r="M30" s="17" t="str">
        <x:v>증류주 목록에는 있으나 소주 법정 주종·2026 활동 여부 확인 필요</x:v>
      </x:c>
      <x:c r="N30" s="17" t="str">
        <x:v>https://i.nts.go.kr/llsc/na/ntt/selectNttList.do?bbsId=22830&amp;mi=1511</x:v>
      </x:c>
      <x:c r="O30" s="17" t="str"/>
      <x:c r="P30" s="17" t="str"/>
      <x:c r="Q30" s="17" t="str">
        <x:v>D | 품목 확인 필요</x:v>
      </x:c>
      <x:c r="R30" s="17" t="str">
        <x:v>공식 설립연도 미확인</x:v>
      </x:c>
      <x:c r="S30" s="17" t="str">
        <x:v>권장 로마자 표기 — 등록 전 공식 표기 확인</x:v>
      </x:c>
      <x:c r="T30" s="17" t="str">
        <x:v>제품 라벨 또는 품목제조보고의 주종이 ‘증류식소주’인지 확인 필요</x:v>
      </x:c>
    </x:row>
    <x:row r="31" ht="78" customHeight="1">
      <x:c r="A31" s="17" t="str">
        <x:v>OTHER</x:v>
      </x:c>
      <x:c r="B31" s="17" t="str">
        <x:v>K소주</x:v>
      </x:c>
      <x:c r="C31" s="17" t="str">
        <x:v>Ksoju Brewery</x:v>
      </x:c>
      <x:c r="D31" s="17"/>
      <x:c r="E31" s="17" t="str"/>
      <x:c r="F31" s="17" t="str">
        <x:v>K소주, Ksoju Brewery, 두리향</x:v>
      </x:c>
      <x:c r="G31" s="17" t="str">
        <x:v>대한민국</x:v>
      </x:c>
      <x:c r="H31" s="17" t="str"/>
      <x:c r="I31" s="17" t="str">
        <x:v>K소주(Ksoju Brewery)은 대한민국에 기반을 둔 증류식 소주 제조사입니다. 대표 제품군에는 두리향 등이 포함됩니다. 원료 선택과 발효·증류 방식의 차이를 살려 제품별 개성을 구성하는 데 초점을 둡니다.</x:v>
      </x:c>
      <x:c r="J31" s="17" t="str">
        <x:v>K소주 (Ksoju Brewery) is a distilled soju producer operating in South Korea. Its core range includes 두리향. Its portfolio emphasizes ingredient choice and differences in fermentation and distillation to give each expression a distinct identity.</x:v>
      </x:c>
      <x:c r="K31" s="17" t="str">
        <x:v>두리향</x:v>
      </x:c>
      <x:c r="L31" s="17" t="str">
        <x:v>증류식</x:v>
      </x:c>
      <x:c r="M31" s="17" t="str">
        <x:v>증류주 목록에는 있으나 소주 법정 주종·2026 활동 여부 확인 필요</x:v>
      </x:c>
      <x:c r="N31" s="17" t="str">
        <x:v>https://i.nts.go.kr/llsc/na/ntt/selectNttList.do?bbsId=22830&amp;mi=1511</x:v>
      </x:c>
      <x:c r="O31" s="17" t="str"/>
      <x:c r="P31" s="17" t="str"/>
      <x:c r="Q31" s="17" t="str">
        <x:v>D | 품목 확인 필요</x:v>
      </x:c>
      <x:c r="R31" s="17" t="str">
        <x:v>공식 설립연도 미확인</x:v>
      </x:c>
      <x:c r="S31" s="17" t="str">
        <x:v>권장 로마자 표기 — 등록 전 공식 표기 확인</x:v>
      </x:c>
      <x:c r="T31" s="17" t="str">
        <x:v>제품 라벨 또는 품목제조보고의 주종이 ‘증류식소주’인지 확인 필요</x:v>
      </x:c>
    </x:row>
  </x:sheetData>
  <x:mergeCells>
    <x:mergeCell ref="A1:T1"/>
    <x:mergeCell ref="A2:T2"/>
  </x:mergeCells>
  <x:conditionalFormatting sqref="Q5:Q31">
    <x:cfRule type="beginsWith" dxfId="4" priority="1" operator="beginsWith" text="A |"/>
    <x:cfRule type="beginsWith" dxfId="5" priority="2" operator="beginsWith" text="B |"/>
    <x:cfRule type="beginsWith" dxfId="6" priority="3" operator="beginsWith" text="C |"/>
    <x:cfRule type="beginsWith" dxfId="7" priority="4" operator="beginsWith" text="D |"/>
  </x:conditionalFormatting>
  <x:dataValidations count="3">
    <x:dataValidation type="list" sqref="A5:A31">
      <x:formula1>"OTHER"</x:formula1>
    </x:dataValidation>
    <x:dataValidation type="list" sqref="G5:G31">
      <x:formula1>"대한민국"</x:formula1>
    </x:dataValidation>
    <x:dataValidation type="list" sqref="Q5:Q31">
      <x:formula1>"A | 2026 공식 확인,A | 2026 활동 확인,B | 2개 출처 일치,C | 공공자료 확인,D | 품목 확인 필요"</x:formula1>
    </x:dataValidation>
  </x:dataValidations>
  <x:pageMargins left="0.7" right="0.7" top="0.75" bottom="0.75" header="0.3" footer="0.3"/>
  <x:tableParts count="1">
    <x:tablePart xmlns:r="http://schemas.openxmlformats.org/officeDocument/2006/relationships" r:id="R22cc11fd765041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22" hidden="0" customWidth="1"/>
    <x:col min="3" max="3" width="30" hidden="0" customWidth="1"/>
    <x:col min="4" max="4" width="34" hidden="0" customWidth="1"/>
    <x:col min="5" max="5" width="55" hidden="0" customWidth="1"/>
    <x:col min="6" max="6" width="46" hidden="0" customWidth="1"/>
    <x:col min="7" max="7" width="38" hidden="0" customWidth="1"/>
  </x:cols>
  <x:sheetData>
    <x:row r="1" ht="32" customHeight="1">
      <x:c r="A1" s="3" t="str">
        <x:v>제외·중복 처리 내역</x:v>
      </x:c>
      <x:c r="B1" s="3"/>
      <x:c r="C1" s="3"/>
      <x:c r="D1" s="3"/>
      <x:c r="E1" s="3"/>
      <x:c r="F1" s="3"/>
      <x:c r="G1" s="3"/>
    </x:row>
    <x:row r="2" ht="38" customHeight="1">
      <x:c r="A2" s="7" t="str">
        <x:v>동일 법인의 상호 변형, 비소주 주종, 단종·사업 종료 이력을 분리했습니다.</x:v>
      </x:c>
      <x:c r="B2" s="7"/>
      <x:c r="C2" s="7"/>
      <x:c r="D2" s="7"/>
      <x:c r="E2" s="7"/>
      <x:c r="F2" s="7"/>
      <x:c r="G2" s="7"/>
    </x:row>
    <x:row r="4">
      <x:c r="A4" s="12" t="str">
        <x:v>원표기</x:v>
      </x:c>
      <x:c r="B4" s="12" t="str">
        <x:v>처리</x:v>
      </x:c>
      <x:c r="C4" s="12" t="str">
        <x:v>통합/권장 생산자</x:v>
      </x:c>
      <x:c r="D4" s="12" t="str">
        <x:v>대표 제품</x:v>
      </x:c>
      <x:c r="E4" s="12" t="str">
        <x:v>이유</x:v>
      </x:c>
      <x:c r="F4" s="12" t="str">
        <x:v>근거 URL</x:v>
      </x:c>
      <x:c r="G4" s="12" t="str">
        <x:v>메모</x:v>
      </x:c>
    </x:row>
    <x:row r="5" ht="62" customHeight="1">
      <x:c r="A5" s="21" t="str">
        <x:v>금산인삼주양조장</x:v>
      </x:c>
      <x:c r="B5" s="21" t="str">
        <x:v>범위 제외</x:v>
      </x:c>
      <x:c r="C5" s="21" t="str"/>
      <x:c r="D5" s="21" t="str">
        <x:v>금설</x:v>
      </x:c>
      <x:c r="E5" s="21" t="str">
        <x:v>대표 확인 제품이 금설·인삼주 계열로 소주 분류 근거가 부족</x:v>
      </x:c>
      <x:c r="F5" s="21" t="str">
        <x:v>https://thesool.com/front/find/M000000082/view.do?productId=PR00000739</x:v>
      </x:c>
      <x:c r="G5" s="21" t="str">
        <x:v>향후 일반증류주·리큐르 생산자 조사 때 재검토</x:v>
      </x:c>
    </x:row>
    <x:row r="6" ht="62" customHeight="1">
      <x:c r="A6" s="21" t="str">
        <x:v>농업회사법인 (주)제주왕지케</x:v>
      </x:c>
      <x:c r="B6" s="21" t="str">
        <x:v>범위 제외</x:v>
      </x:c>
      <x:c r="C6" s="21" t="str"/>
      <x:c r="D6" s="21" t="str">
        <x:v>설홍</x:v>
      </x:c>
      <x:c r="E6" s="21" t="str">
        <x:v>대표 확인 제품 설홍의 소주 법정 주종 근거가 부족</x:v>
      </x:c>
      <x:c r="F6" s="21" t="str">
        <x:v>https://thesool.com/front/find/M000000082/view.do?productId=PR00001288</x:v>
      </x:c>
      <x:c r="G6" s="21" t="str">
        <x:v>향후 일반증류주·리큐르 생산자 조사 때 재검토</x:v>
      </x:c>
    </x:row>
    <x:row r="7" ht="62" customHeight="1">
      <x:c r="A7" s="21" t="str">
        <x:v>농업회사법인 팔로미 주식회사</x:v>
      </x:c>
      <x:c r="B7" s="21" t="str">
        <x:v>범위 제외</x:v>
      </x:c>
      <x:c r="C7" s="21" t="str"/>
      <x:c r="D7" s="21" t="str">
        <x:v>팔로미 더 블랙 26 (8ROMI 19+ THE BLACK 26)</x:v>
      </x:c>
      <x:c r="E7" s="21" t="str">
        <x:v>대표 확인 제품 팔로미 더 블랙26의 소주 법정 주종 근거가 부족</x:v>
      </x:c>
      <x:c r="F7" s="21" t="str">
        <x:v>https://thesool.com/front/find/M000000082/view.do?productId=PR00001002</x:v>
      </x:c>
      <x:c r="G7" s="21" t="str">
        <x:v>향후 일반증류주·리큐르 생산자 조사 때 재검토</x:v>
      </x:c>
    </x:row>
    <x:row r="8" ht="62" customHeight="1">
      <x:c r="A8" s="21" t="str">
        <x:v>농업회사법인(주)두레양조</x:v>
      </x:c>
      <x:c r="B8" s="21" t="str">
        <x:v>범위 제외</x:v>
      </x:c>
      <x:c r="C8" s="21" t="str"/>
      <x:c r="D8" s="21" t="str">
        <x:v>두레앙브랜디</x:v>
      </x:c>
      <x:c r="E8" s="21" t="str">
        <x:v>두레앙브랜디는 브랜디로 소주 범위에서 제외</x:v>
      </x:c>
      <x:c r="F8" s="21" t="str">
        <x:v>https://i.nts.go.kr/llsc/na/ntt/selectNttList.do?bbsId=22830&amp;mi=1511</x:v>
      </x:c>
      <x:c r="G8" s="21" t="str">
        <x:v>향후 일반증류주·리큐르 생산자 조사 때 재검토</x:v>
      </x:c>
    </x:row>
    <x:row r="9" ht="62" customHeight="1">
      <x:c r="A9" s="21" t="str">
        <x:v>농업회사법인(주)착한농부</x:v>
      </x:c>
      <x:c r="B9" s="21" t="str">
        <x:v>범위 제외</x:v>
      </x:c>
      <x:c r="C9" s="21" t="str"/>
      <x:c r="D9" s="21" t="str">
        <x:v>착한농부 막시모파인오크 40</x:v>
      </x:c>
      <x:c r="E9" s="21" t="str">
        <x:v>막시모 파인오크는 과실계 일반증류주로 소주 범위에서 제외</x:v>
      </x:c>
      <x:c r="F9" s="21" t="str">
        <x:v>https://thesool.com/front/find/M000000082/view.do?productId=PR00000939</x:v>
      </x:c>
      <x:c r="G9" s="21" t="str">
        <x:v>향후 일반증류주·리큐르 생산자 조사 때 재검토</x:v>
      </x:c>
    </x:row>
    <x:row r="10" ht="62" customHeight="1">
      <x:c r="A10" s="21" t="str">
        <x:v>농업회사법인영덕주조</x:v>
      </x:c>
      <x:c r="B10" s="21" t="str">
        <x:v>범위 제외</x:v>
      </x:c>
      <x:c r="C10" s="21" t="str"/>
      <x:c r="D10" s="21" t="str">
        <x:v>도원결의</x:v>
      </x:c>
      <x:c r="E10" s="21" t="str">
        <x:v>도원결의는 과실 원료 일반증류주로 소주 범위에서 제외</x:v>
      </x:c>
      <x:c r="F10" s="21" t="str">
        <x:v>https://thesool.com/front/find/M000000082/view.do?productId=PR00000510</x:v>
      </x:c>
      <x:c r="G10" s="21" t="str">
        <x:v>향후 일반증류주·리큐르 생산자 조사 때 재검토</x:v>
      </x:c>
    </x:row>
    <x:row r="11" ht="62" customHeight="1">
      <x:c r="A11" s="21" t="str">
        <x:v>댄싱사이더</x:v>
      </x:c>
      <x:c r="B11" s="21" t="str">
        <x:v>범위 제외</x:v>
      </x:c>
      <x:c r="C11" s="21" t="str"/>
      <x:c r="D11" s="21" t="str">
        <x:v>댄싱22</x:v>
      </x:c>
      <x:c r="E11" s="21" t="str">
        <x:v>사과 기반 일반증류주 제조사로 확인되며 소주 제조사로 단정하기 어려움</x:v>
      </x:c>
      <x:c r="F11" s="21" t="str">
        <x:v>https://thesool.com/front/find/M000000082/view.do?productId=PR00001146</x:v>
      </x:c>
      <x:c r="G11" s="21" t="str">
        <x:v>향후 일반증류주·리큐르 생산자 조사 때 재검토</x:v>
      </x:c>
    </x:row>
    <x:row r="12" ht="62" customHeight="1">
      <x:c r="A12" s="21" t="str">
        <x:v>불로주</x:v>
      </x:c>
      <x:c r="B12" s="21" t="str">
        <x:v>범위 제외</x:v>
      </x:c>
      <x:c r="C12" s="21" t="str"/>
      <x:c r="D12" s="21" t="str">
        <x:v>포항불로주</x:v>
      </x:c>
      <x:c r="E12" s="21" t="str">
        <x:v>포항불로주의 소주 법정 주종 근거가 부족</x:v>
      </x:c>
      <x:c r="F12" s="21" t="str">
        <x:v>https://thesool.com/front/find/M000000082/view.do?productId=PR00000572</x:v>
      </x:c>
      <x:c r="G12" s="21" t="str">
        <x:v>향후 일반증류주·리큐르 생산자 조사 때 재검토</x:v>
      </x:c>
    </x:row>
    <x:row r="13" ht="62" customHeight="1">
      <x:c r="A13" s="21" t="str">
        <x:v>솔래원</x:v>
      </x:c>
      <x:c r="B13" s="21" t="str">
        <x:v>범위 제외</x:v>
      </x:c>
      <x:c r="C13" s="21" t="str"/>
      <x:c r="D13" s="21" t="str">
        <x:v>골드윈, 몽루아</x:v>
      </x:c>
      <x:c r="E13" s="21" t="str">
        <x:v>골드윈·몽루아는 브랜디/일반증류주 계열로 소주 범위에서 제외</x:v>
      </x:c>
      <x:c r="F13" s="21" t="str">
        <x:v>https://i.nts.go.kr/llsc/na/ntt/selectNttList.do?bbsId=22830&amp;mi=1511</x:v>
      </x:c>
      <x:c r="G13" s="21" t="str">
        <x:v>향후 일반증류주·리큐르 생산자 조사 때 재검토</x:v>
      </x:c>
    </x:row>
    <x:row r="14" ht="62" customHeight="1">
      <x:c r="A14" s="21" t="str">
        <x:v>솔송주</x:v>
      </x:c>
      <x:c r="B14" s="21" t="str">
        <x:v>범위 제외</x:v>
      </x:c>
      <x:c r="C14" s="21" t="str"/>
      <x:c r="D14" s="21" t="str">
        <x:v>솔직 25도 10년 숙성</x:v>
      </x:c>
      <x:c r="E14" s="21" t="str">
        <x:v>대표 제품이 약재·솔잎 계열 일반증류주/리큐르로 소주 분류 확인이 필요</x:v>
      </x:c>
      <x:c r="F14" s="21" t="str">
        <x:v>https://thesool.com/front/find/M000000082/view.do?productId=PR00001405</x:v>
      </x:c>
      <x:c r="G14" s="21" t="str">
        <x:v>향후 일반증류주·리큐르 생산자 조사 때 재검토</x:v>
      </x:c>
    </x:row>
    <x:row r="15" ht="62" customHeight="1">
      <x:c r="A15" s="21" t="str">
        <x:v>송로주</x:v>
      </x:c>
      <x:c r="B15" s="21" t="str">
        <x:v>범위 제외</x:v>
      </x:c>
      <x:c r="C15" s="21" t="str"/>
      <x:c r="D15" s="21" t="str">
        <x:v>송로주</x:v>
      </x:c>
      <x:c r="E15" s="21" t="str">
        <x:v>송로주 계열 전통주로, 소주 법정 주종 근거가 부족</x:v>
      </x:c>
      <x:c r="F15" s="21" t="str">
        <x:v>https://thesool.com/front/find/M000000082/view.do?productId=PR00000582</x:v>
      </x:c>
      <x:c r="G15" s="21" t="str">
        <x:v>향후 일반증류주·리큐르 생산자 조사 때 재검토</x:v>
      </x:c>
    </x:row>
    <x:row r="16" ht="62" customHeight="1">
      <x:c r="A16" s="21" t="str">
        <x:v>술빚는 전가네 / 술빚는전가네</x:v>
      </x:c>
      <x:c r="B16" s="21" t="str">
        <x:v>범위 제외</x:v>
      </x:c>
      <x:c r="C16" s="21" t="str"/>
      <x:c r="D16" s="21" t="str">
        <x:v>산정호수 솔잎주, 육십일도</x:v>
      </x:c>
      <x:c r="E16" s="21" t="str">
        <x:v>솔잎주·육십일도는 일반증류주 성격으로 소주 등록 여부 재확인 필요</x:v>
      </x:c>
      <x:c r="F16" s="21" t="str">
        <x:v>https://thesool.com/front/find/M000000082/view.do?productId=PR00001081</x:v>
      </x:c>
      <x:c r="G16" s="21" t="str">
        <x:v>향후 일반증류주·리큐르 생산자 조사 때 재검토</x:v>
      </x:c>
    </x:row>
    <x:row r="17" ht="62" customHeight="1">
      <x:c r="A17" s="21" t="str">
        <x:v>전주 이강주</x:v>
      </x:c>
      <x:c r="B17" s="21" t="str">
        <x:v>범위 제외</x:v>
      </x:c>
      <x:c r="C17" s="21" t="str"/>
      <x:c r="D17" s="21" t="str">
        <x:v>이강주 5호</x:v>
      </x:c>
      <x:c r="E17" s="21" t="str">
        <x:v>이강주는 배·생강 등 향미 재료를 쓰는 전통 리큐르로, 소주 생산자 범위에서 제외</x:v>
      </x:c>
      <x:c r="F17" s="21" t="str">
        <x:v>https://thesool.com/front/find/M000000082/view.do?productId=PR00001114</x:v>
      </x:c>
      <x:c r="G17" s="21" t="str">
        <x:v>향후 일반증류주·리큐르 생산자 조사 때 재검토</x:v>
      </x:c>
    </x:row>
    <x:row r="18" ht="62" customHeight="1">
      <x:c r="A18" s="21" t="str">
        <x:v>참주가</x:v>
      </x:c>
      <x:c r="B18" s="21" t="str">
        <x:v>범위 제외</x:v>
      </x:c>
      <x:c r="C18" s="21" t="str"/>
      <x:c r="D18" s="21" t="str">
        <x:v>참주가 청화랑</x:v>
      </x:c>
      <x:c r="E18" s="21" t="str">
        <x:v>대표 확인 제품 청화랑의 소주 법정 주종 근거가 부족</x:v>
      </x:c>
      <x:c r="F18" s="21" t="str">
        <x:v>https://thesool.com/front/find/M000000082/view.do?productId=PR00000942</x:v>
      </x:c>
      <x:c r="G18" s="21" t="str">
        <x:v>향후 일반증류주·리큐르 생산자 조사 때 재검토</x:v>
      </x:c>
    </x:row>
    <x:row r="19" ht="62" customHeight="1">
      <x:c r="A19" s="21" t="str">
        <x:v>추성고을</x:v>
      </x:c>
      <x:c r="B19" s="21" t="str">
        <x:v>범위 제외</x:v>
      </x:c>
      <x:c r="C19" s="21" t="str"/>
      <x:c r="D19" s="21" t="str">
        <x:v>죽력고40, 추성주</x:v>
      </x:c>
      <x:c r="E19" s="21" t="str">
        <x:v>대표 확인 제품 죽력고는 전통 증류주이지만 소주 등록 범위와 구분 필요</x:v>
      </x:c>
      <x:c r="F19" s="21" t="str">
        <x:v>https://thesool.com/front/find/M000000082/view.do?productId=PR00001460</x:v>
      </x:c>
      <x:c r="G19" s="21" t="str">
        <x:v>향후 일반증류주·리큐르 생산자 조사 때 재검토</x:v>
      </x:c>
    </x:row>
    <x:row r="20" ht="62" customHeight="1">
      <x:c r="A20" s="21" t="str">
        <x:v>태평주가 / (농)㈜태평주가</x:v>
      </x:c>
      <x:c r="B20" s="21" t="str">
        <x:v>범위 제외</x:v>
      </x:c>
      <x:c r="C20" s="21" t="str"/>
      <x:c r="D20" s="21" t="str">
        <x:v>진심 인삼주, 진심홍삼인삼주 38%, 19%</x:v>
      </x:c>
      <x:c r="E20" s="21" t="str">
        <x:v>대표 확인 제품이 인삼주 계열로 소주 여부가 불명확</x:v>
      </x:c>
      <x:c r="F20" s="21" t="str">
        <x:v>https://thesool.com/front/find/M000000082/view.do?productId=PR00001006</x:v>
      </x:c>
      <x:c r="G20" s="21" t="str">
        <x:v>향후 일반증류주·리큐르 생산자 조사 때 재검토</x:v>
      </x:c>
    </x:row>
    <x:row r="21" ht="62" customHeight="1">
      <x:c r="A21" s="21" t="str">
        <x:v>회곡양조장</x:v>
      </x:c>
      <x:c r="B21" s="21" t="str">
        <x:v>범위 제외</x:v>
      </x:c>
      <x:c r="C21" s="21" t="str"/>
      <x:c r="D21" s="21" t="str">
        <x:v>안동 국화주</x:v>
      </x:c>
      <x:c r="E21" s="21" t="str">
        <x:v>대표 확인 제품이 안동 국화주로 소주 분류 근거가 부족</x:v>
      </x:c>
      <x:c r="F21" s="21" t="str">
        <x:v>https://thesool.com/front/find/M000000082/view.do?productId=PR00001345</x:v>
      </x:c>
      <x:c r="G21" s="21" t="str">
        <x:v>향후 일반증류주·리큐르 생산자 조사 때 재검토</x:v>
      </x:c>
    </x:row>
    <x:row r="22" ht="62" customHeight="1">
      <x:c r="A22" s="21" t="str">
        <x:v>농업회사법인 토끼소주 / 농업회사법인 토끼소주 (주)</x:v>
      </x:c>
      <x:c r="B22" s="21" t="str">
        <x:v>중복 통합</x:v>
      </x:c>
      <x:c r="C22" s="21" t="str">
        <x:v>농업회사법인 토끼소주㈜</x:v>
      </x:c>
      <x:c r="D22" s="21" t="str">
        <x:v>토끼소주 블랙</x:v>
      </x:c>
      <x:c r="E22" s="21" t="str">
        <x:v>주소·공식 사이트가 동일</x:v>
      </x:c>
      <x:c r="F22" s="21" t="str">
        <x:v>https://thesool.com/front/find/M000000086/list.do?kind=CD00000144</x:v>
      </x:c>
      <x:c r="G22" s="21" t="str">
        <x:v>통합 대상 생산자 1건만 등록</x:v>
      </x:c>
    </x:row>
    <x:row r="23" ht="62" customHeight="1">
      <x:c r="A23" s="21" t="str">
        <x:v>담을 / 농업회사법인 담을</x:v>
      </x:c>
      <x:c r="B23" s="21" t="str">
        <x:v>중복 통합</x:v>
      </x:c>
      <x:c r="C23" s="21" t="str">
        <x:v>농업회사법인 담을</x:v>
      </x:c>
      <x:c r="D23" s="21" t="str">
        <x:v>주향담을, 주향이오</x:v>
      </x:c>
      <x:c r="E23" s="21" t="str">
        <x:v>주소·제품·판매 페이지가 동일</x:v>
      </x:c>
      <x:c r="F23" s="21" t="str">
        <x:v>https://thesool.com/front/find/M000000086/list.do?kind=CD00000144</x:v>
      </x:c>
      <x:c r="G23" s="21" t="str">
        <x:v>통합 대상 생산자 1건만 등록</x:v>
      </x:c>
    </x:row>
    <x:row r="24" ht="62" customHeight="1">
      <x:c r="A24" s="21" t="str">
        <x:v>두이술공방 / 농업회사법인 아리랑주조㈜</x:v>
      </x:c>
      <x:c r="B24" s="21" t="str">
        <x:v>중복 통합</x:v>
      </x:c>
      <x:c r="C24" s="21" t="str">
        <x:v>농업회사법인 아리랑주조㈜</x:v>
      </x:c>
      <x:c r="D24" s="21" t="str">
        <x:v>겨울소주</x:v>
      </x:c>
      <x:c r="E24" s="21" t="str">
        <x:v>주소·판매 페이지가 동일</x:v>
      </x:c>
      <x:c r="F24" s="21" t="str">
        <x:v>https://thesool.com/front/find/M000000086/list.do?kind=CD00000144</x:v>
      </x:c>
      <x:c r="G24" s="21" t="str">
        <x:v>통합 대상 생산자 1건만 등록</x:v>
      </x:c>
    </x:row>
    <x:row r="25" ht="62" customHeight="1">
      <x:c r="A25" s="21" t="str">
        <x:v>모월 / 모월 협동조합 / 주담</x:v>
      </x:c>
      <x:c r="B25" s="21" t="str">
        <x:v>중복 통합</x:v>
      </x:c>
      <x:c r="C25" s="21" t="str">
        <x:v>협동조합 모월</x:v>
      </x:c>
      <x:c r="D25" s="21" t="str">
        <x:v>모월 로, 모월 인</x:v>
      </x:c>
      <x:c r="E25" s="21" t="str">
        <x:v>국세청과 더술닷컴의 시기별 표기 차이</x:v>
      </x:c>
      <x:c r="F25" s="21" t="str">
        <x:v>https://thesool.com/front/find/M000000086/list.do?kind=CD00000144</x:v>
      </x:c>
      <x:c r="G25" s="21" t="str">
        <x:v>통합 대상 생산자 1건만 등록</x:v>
      </x:c>
    </x:row>
    <x:row r="26" ht="62" customHeight="1">
      <x:c r="A26" s="21" t="str">
        <x:v>배혜정도가 / (주)배혜정농업회사법인</x:v>
      </x:c>
      <x:c r="B26" s="21" t="str">
        <x:v>중복 통합</x:v>
      </x:c>
      <x:c r="C26" s="21" t="str">
        <x:v>㈜배혜정농업회사법인</x:v>
      </x:c>
      <x:c r="D26" s="21" t="str">
        <x:v>로아, 우곡소주, 도래하</x:v>
      </x:c>
      <x:c r="E26" s="21" t="str">
        <x:v>주소가 같고 공식 사이트가 동일 계열 생산자로 연결됨</x:v>
      </x:c>
      <x:c r="F26" s="21" t="str">
        <x:v>https://thesool.com/front/find/M000000086/list.do?kind=CD00000144</x:v>
      </x:c>
      <x:c r="G26" s="21" t="str">
        <x:v>통합 대상 생산자 1건만 등록</x:v>
      </x:c>
    </x:row>
    <x:row r="27" ht="62" customHeight="1">
      <x:c r="A27" s="21" t="str">
        <x:v>연천양조 / 농업회사법인 연천양조(주)</x:v>
      </x:c>
      <x:c r="B27" s="21" t="str">
        <x:v>중복 통합</x:v>
      </x:c>
      <x:c r="C27" s="21" t="str">
        <x:v>농업회사법인 연천양조㈜</x:v>
      </x:c>
      <x:c r="D27" s="21" t="str">
        <x:v>연천우주</x:v>
      </x:c>
      <x:c r="E27" s="21" t="str">
        <x:v>공식 판매 페이지가 동일하며 표기만 다름</x:v>
      </x:c>
      <x:c r="F27" s="21" t="str">
        <x:v>https://thesool.com/front/find/M000000086/list.do?kind=CD00000144</x:v>
      </x:c>
      <x:c r="G27" s="21" t="str">
        <x:v>통합 대상 생산자 1건만 등록</x:v>
      </x:c>
    </x:row>
    <x:row r="28" ht="62" customHeight="1">
      <x:c r="A28" s="21" t="str">
        <x:v>온 증류소 / 농업회사법인 (주)온증류소</x:v>
      </x:c>
      <x:c r="B28" s="21" t="str">
        <x:v>중복 통합</x:v>
      </x:c>
      <x:c r="C28" s="21" t="str">
        <x:v>농업회사법인 ㈜온증류소</x:v>
      </x:c>
      <x:c r="D28" s="21" t="str">
        <x:v>형형, 연연</x:v>
      </x:c>
      <x:c r="E28" s="21" t="str">
        <x:v>주소·판매 페이지가 동일</x:v>
      </x:c>
      <x:c r="F28" s="21" t="str">
        <x:v>https://thesool.com/front/find/M000000086/list.do?kind=CD00000144</x:v>
      </x:c>
      <x:c r="G28" s="21" t="str">
        <x:v>통합 대상 생산자 1건만 등록</x:v>
      </x:c>
    </x:row>
    <x:row r="29" ht="62" customHeight="1">
      <x:c r="A29" s="21" t="str">
        <x:v>조은술 세종 / 조은술세종</x:v>
      </x:c>
      <x:c r="B29" s="21" t="str">
        <x:v>중복 통합</x:v>
      </x:c>
      <x:c r="C29" s="21" t="str">
        <x:v>조은술세종㈜</x:v>
      </x:c>
      <x:c r="D29" s="21" t="str">
        <x:v>이도</x:v>
      </x:c>
      <x:c r="E29" s="21" t="str">
        <x:v>주소·제품·국세청 표기가 동일</x:v>
      </x:c>
      <x:c r="F29" s="21" t="str">
        <x:v>https://thesool.com/front/find/M000000086/list.do?kind=CD00000144</x:v>
      </x:c>
      <x:c r="G29" s="21" t="str">
        <x:v>통합 대상 생산자 1건만 등록</x:v>
      </x:c>
    </x:row>
    <x:row r="30" ht="62" customHeight="1">
      <x:c r="A30" s="21" t="str">
        <x:v>태평주가 / (농)㈜태평주가</x:v>
      </x:c>
      <x:c r="B30" s="21" t="str">
        <x:v>중복 통합 후 범위 제외</x:v>
      </x:c>
      <x:c r="C30" s="21" t="str">
        <x:v>농업회사법인 ㈜태평주가</x:v>
      </x:c>
      <x:c r="D30" s="21" t="str">
        <x:v>진심 인삼주</x:v>
      </x:c>
      <x:c r="E30" s="21" t="str">
        <x:v>동일 제조사이나 소주보다 인삼주로 확인되어 제외</x:v>
      </x:c>
      <x:c r="F30" s="21" t="str">
        <x:v>https://thesool.com/front/find/M000000086/list.do?kind=CD00000144</x:v>
      </x:c>
      <x:c r="G30" s="21" t="str">
        <x:v>통합 대상 생산자 1건만 등록</x:v>
      </x:c>
    </x:row>
  </x:sheetData>
  <x:mergeCells>
    <x:mergeCell ref="A1:G1"/>
    <x:mergeCell ref="A2:G2"/>
  </x:mergeCells>
  <x:pageMargins left="0.7" right="0.7" top="0.75" bottom="0.75" header="0.3" footer="0.3"/>
  <x:tableParts count="1">
    <x:tablePart xmlns:r="http://schemas.openxmlformats.org/officeDocument/2006/relationships" r:id="R8f3c538e64ec42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62" hidden="0" customWidth="1"/>
    <x:col min="4" max="4" width="55" hidden="0" customWidth="1"/>
  </x:cols>
  <x:sheetData>
    <x:row r="1" ht="32" customHeight="1">
      <x:c r="A1" s="3" t="str">
        <x:v>조사 기준·등록 규칙</x:v>
      </x:c>
      <x:c r="B1" s="3"/>
      <x:c r="C1" s="3"/>
      <x:c r="D1" s="3"/>
    </x:row>
    <x:row r="2" ht="38" customHeight="1">
      <x:c r="A2" s="7" t="str">
        <x:v>‘전부’에 최대한 근접하되 공개 자료가 증명할 수 있는 범위와 확인 한계를 함께 기록했습니다.</x:v>
      </x:c>
      <x:c r="B2" s="7"/>
      <x:c r="C2" s="7"/>
      <x:c r="D2" s="7"/>
    </x:row>
    <x:row r="4">
      <x:c r="A4" s="12" t="str">
        <x:v>항목</x:v>
      </x:c>
      <x:c r="B4" s="12" t="str">
        <x:v>적용 기준</x:v>
      </x:c>
      <x:c r="C4" s="12" t="str">
        <x:v>실무 처리</x:v>
      </x:c>
      <x:c r="D4" s="12" t="str">
        <x:v>주요 근거</x:v>
      </x:c>
    </x:row>
    <x:row r="5" ht="58" customHeight="1">
      <x:c r="A5" s="25" t="str">
        <x:v>조사 기준일</x:v>
      </x:c>
      <x:c r="B5" s="25" t="str">
        <x:v>2026-09-01</x:v>
      </x:c>
      <x:c r="C5" s="25" t="str">
        <x:v>기준일 현재 대한민국에서 생산·판매 중이라는 공개 근거를 우선</x:v>
      </x:c>
      <x:c r="D5" s="25" t="str">
        <x:v>국세청 2026 K-SUUL, 더술닷컴, 제조사 공식 페이지</x:v>
      </x:c>
    </x:row>
    <x:row r="6" ht="58" customHeight="1">
      <x:c r="A6" s="25" t="str">
        <x:v>확정 범위</x:v>
      </x:c>
      <x:c r="B6" s="25" t="str">
        <x:v>희석식 소주와 증류식 소주 제조사</x:v>
      </x:c>
      <x:c r="C6" s="25" t="str">
        <x:v>2026 정부 자료 또는 공공 카탈로그+독립 제조사/판매 페이지가 일치하는 경우 확정</x:v>
      </x:c>
      <x:c r="D6" s="25" t="str">
        <x:v>등록용_확정 시트</x:v>
      </x:c>
    </x:row>
    <x:row r="7" ht="58" customHeight="1">
      <x:c r="A7" s="25" t="str">
        <x:v>후보 범위</x:v>
      </x:c>
      <x:c r="B7" s="25" t="str">
        <x:v>공공 목록 1곳만 확인되거나 법정 주종이 불명확한 증류주 제조사</x:v>
      </x:c>
      <x:c r="C7" s="25" t="str">
        <x:v>제조사 문의·제품 라벨·품목제조보고에서 ‘증류식소주’와 현재 판매 여부 확인 후 등록</x:v>
      </x:c>
      <x:c r="D7" s="25" t="str">
        <x:v>검토필요_후보 시트</x:v>
      </x:c>
    </x:row>
    <x:row r="8" ht="58" customHeight="1">
      <x:c r="A8" s="25" t="str">
        <x:v>비소주 제외</x:v>
      </x:c>
      <x:c r="B8" s="25" t="str">
        <x:v>브랜디·리큐르·과실/약재 일반증류주가 주된 확인 제품인 업체</x:v>
      </x:c>
      <x:c r="C8" s="25" t="str">
        <x:v>향후 일반증류주 생산자 조사에서 별도 검토</x:v>
      </x:c>
      <x:c r="D8" s="25" t="str">
        <x:v>제외_중복 시트</x:v>
      </x:c>
    </x:row>
    <x:row r="9" ht="58" customHeight="1">
      <x:c r="A9" s="25" t="str">
        <x:v>생산자 종류</x:v>
      </x:c>
      <x:c r="B9" s="25" t="str">
        <x:v>현재 enum에 소주 전용 값이 없음</x:v>
      </x:c>
      <x:c r="C9" s="25" t="str">
        <x:v>모두 OTHER로 입력. 제품 등록 때 otherType=SOJU 사용</x:v>
      </x:c>
      <x:c r="D9" s="25" t="str">
        <x:v>프로젝트 관리자 폼·enum 확인</x:v>
      </x:c>
    </x:row>
    <x:row r="10" ht="58" customHeight="1">
      <x:c r="A10" s="25" t="str">
        <x:v>국가</x:v>
      </x:c>
      <x:c r="B10" s="25" t="str">
        <x:v>대한민국</x:v>
      </x:c>
      <x:c r="C10" s="25" t="str">
        <x:v>모두 대한민국으로 입력</x:v>
      </x:c>
      <x:c r="D10" s="25" t="str">
        <x:v>생산 주소 기준</x:v>
      </x:c>
    </x:row>
    <x:row r="11" ht="58" customHeight="1">
      <x:c r="A11" s="25" t="str">
        <x:v>지역</x:v>
      </x:c>
      <x:c r="B11" s="25" t="str">
        <x:v>단일 생산 거점은 광역 시·도, 복수 거점 대기업은 공란</x:v>
      </x:c>
      <x:c r="C11" s="25" t="str">
        <x:v>제품에 생산자 지역이 자동 복사될 수 있으므로 대기업은 오해 방지를 위해 비움</x:v>
      </x:c>
      <x:c r="D11" s="25" t="str">
        <x:v>프로젝트 지역 표기 규칙</x:v>
      </x:c>
    </x:row>
    <x:row r="12" ht="58" customHeight="1">
      <x:c r="A12" s="25" t="str">
        <x:v>설립연도</x:v>
      </x:c>
      <x:c r="B12" s="25" t="str">
        <x:v>공식 연혁에서 명확한 경우만 기입</x:v>
      </x:c>
      <x:c r="C12" s="25" t="str">
        <x:v>브랜드 출시연도·가문 전승연도와 법인 설립연도를 혼용하지 않음. 불명확하면 공란</x:v>
      </x:c>
      <x:c r="D12" s="25" t="str">
        <x:v>설립연도 근거·주의 열</x:v>
      </x:c>
    </x:row>
    <x:row r="13" ht="58" customHeight="1">
      <x:c r="A13" s="25" t="str">
        <x:v>영어명</x:v>
      </x:c>
      <x:c r="B13" s="25" t="str">
        <x:v>공식 영문 표기를 우선</x:v>
      </x:c>
      <x:c r="C13" s="25" t="str">
        <x:v>공식 표기가 없으면 검색을 위한 권장 로마자 표기를 제공하고 검토 표시</x:v>
      </x:c>
      <x:c r="D13" s="25" t="str">
        <x:v>영문명 표기 열</x:v>
      </x:c>
    </x:row>
    <x:row r="14" ht="58" customHeight="1">
      <x:c r="A14" s="25" t="str">
        <x:v>소개문</x:v>
      </x:c>
      <x:c r="B14" s="25" t="str">
        <x:v>지역·연혁·대표 제품·원료·제조 방식 등 생산자 특징만 기술</x:v>
      </x:c>
      <x:c r="C14" s="25" t="str">
        <x:v>조사 날짜와 확인·교차 검증 문구는 소개에서 빼고 근거·활동 열에만 기록</x:v>
      </x:c>
      <x:c r="D14" s="25" t="str">
        <x:v>출처 URL 1~3</x:v>
      </x:c>
    </x:row>
    <x:row r="15" ht="58" customHeight="1">
      <x:c r="A15" s="25" t="str">
        <x:v>완전성 한계</x:v>
      </x:c>
      <x:c r="B15" s="25" t="str">
        <x:v>공개된 최신 주류 제조면허 전체 명부와 실시간 판매 상태를 결합한 단일 자료는 확인되지 않음</x:v>
      </x:c>
      <x:c r="C15" s="25" t="str">
        <x:v>따라서 확정/후보/제외를 분리. ‘절대적 전수’가 아니라 공개 근거 기반 최대 포괄 목록</x:v>
      </x:c>
      <x:c r="D15" s="25" t="str">
        <x:v>aT 2025 주류산업 실태조사</x:v>
      </x:c>
    </x:row>
    <x:row r="16" ht="58" customHeight="1">
      <x:c r="A16" s="25" t="str">
        <x:v>주요 공공출처 1</x:v>
      </x:c>
      <x:c r="B16" s="25" t="str">
        <x:v>국세청 2026 K-SUUL 보도자료</x:v>
      </x:c>
      <x:c r="C16" s="25" t="str">
        <x:v>2026년 참가·전시 제품으로 현재 활동 강하게 확인</x:v>
      </x:c>
      <x:c r="D16" s="25" t="str">
        <x:v>https://t.nts.go.kr/dongdaegu/na/ntt/selectNttInfo.do?mi=2201&amp;nttSn=1351814</x:v>
      </x:c>
    </x:row>
    <x:row r="17" ht="58" customHeight="1">
      <x:c r="A17" s="25" t="str">
        <x:v>주요 공공출처 2</x:v>
      </x:c>
      <x:c r="B17" s="25" t="str">
        <x:v>농림축산식품부·aT 더술닷컴 증류주 카탈로그</x:v>
      </x:c>
      <x:c r="C17" s="25" t="str">
        <x:v>제품·제조사·주소·홈페이지·원료 교차 확인</x:v>
      </x:c>
      <x:c r="D17" s="25" t="str">
        <x:v>https://thesool.com/front/find/M000000086/list.do?kind=CD00000144</x:v>
      </x:c>
    </x:row>
    <x:row r="18" ht="58" customHeight="1">
      <x:c r="A18" s="25" t="str">
        <x:v>주요 공공출처 3</x:v>
      </x:c>
      <x:c r="B18" s="25" t="str">
        <x:v>국세청주류면허지원센터 국내주류소개</x:v>
      </x:c>
      <x:c r="C18" s="25" t="str">
        <x:v>과거 등록 제품·제조사 보강. 최신성은 별도 검증</x:v>
      </x:c>
      <x:c r="D18" s="25" t="str">
        <x:v>https://i.nts.go.kr/llsc/na/ntt/selectNttList.do?bbsId=22830&amp;mi=1511</x:v>
      </x:c>
    </x:row>
    <x:row r="19" ht="58" customHeight="1">
      <x:c r="A19" s="25" t="str">
        <x:v>산업 범위 참고</x:v>
      </x:c>
      <x:c r="B19" s="25" t="str">
        <x:v>aT 2025 주류산업 실태조사(2026-04 게시)</x:v>
      </x:c>
      <x:c r="C19" s="25" t="str">
        <x:v>산업 통계·증류식 소주 범위 참고. 업체 실명 전수명부는 아님</x:v>
      </x:c>
      <x:c r="D19" s="25" t="str">
        <x:v>https://atfis.or.kr/home/board/FB0003.do?act=read&amp;bcaId=10008&amp;bpoId=5821</x:v>
      </x:c>
    </x:row>
  </x:sheetData>
  <x:mergeCells>
    <x:mergeCell ref="A1:D1"/>
    <x:mergeCell ref="A2:D2"/>
  </x:mergeCells>
  <x:pageMargins left="0.7" right="0.7" top="0.75" bottom="0.75" header="0.3" footer="0.3"/>
</x:worksheet>
</file>