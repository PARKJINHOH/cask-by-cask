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08e30a6fc84410b" /></Relationships>
</file>

<file path=xl/workbook.xml><?xml version="1.0" encoding="utf-8"?>
<x:workbook xmlns:x="http://schemas.openxmlformats.org/spreadsheetml/2006/main">
  <x:sheets>
    <x:sheet xmlns:r="http://schemas.openxmlformats.org/officeDocument/2006/relationships" name="요약" sheetId="1" r:id="Rbf00211c6ec2423d"/>
    <x:sheet xmlns:r="http://schemas.openxmlformats.org/officeDocument/2006/relationships" name="등록용_확정" sheetId="2" r:id="Re2c7f0a629274c51"/>
    <x:sheet xmlns:r="http://schemas.openxmlformats.org/officeDocument/2006/relationships" name="검토필요_후보" sheetId="3" r:id="Raa1efde585ca4fd1"/>
    <x:sheet xmlns:r="http://schemas.openxmlformats.org/officeDocument/2006/relationships" name="제외_중복" sheetId="4" r:id="Rdf31302c7b6142eb"/>
    <x:sheet xmlns:r="http://schemas.openxmlformats.org/officeDocument/2006/relationships" name="조사기준" sheetId="5" r:id="Rd0b6e92b16684fa2"/>
  </x:sheets>
</x:workbook>
</file>

<file path=xl/sharedStrings.xml><?xml version="1.0" encoding="utf-8"?>
<x:sst xmlns:x="http://schemas.openxmlformats.org/spreadsheetml/2006/main"/>
</file>

<file path=xl/styles.xml><?xml version="1.0" encoding="utf-8"?>
<x:styleSheet xmlns:x="http://schemas.openxmlformats.org/spreadsheetml/2006/main">
  <x:fonts count="10">
    <x:font>
      <x:sz val="11"/>
      <x:name val="Carlito"/>
    </x:font>
    <x:font>
      <x:b/>
      <x:sz val="18"/>
      <x:color rgb="FFFFFFFF"/>
      <x:name val="Carlito"/>
    </x:font>
    <x:font>
      <x:i/>
      <x:sz val="10"/>
      <x:color rgb="FF334155"/>
      <x:name val="Carlito"/>
    </x:font>
    <x:font>
      <x:b/>
      <x:sz val="11"/>
      <x:color rgb="FFFFFFFF"/>
      <x:name val="Carlito"/>
    </x:font>
    <x:font>
      <x:sz val="9"/>
      <x:color rgb="FF1F2937"/>
      <x:name val="Carlito"/>
    </x:font>
    <x:font>
      <x:sz val="9"/>
      <x:name val="Carlito"/>
    </x:font>
    <x:font>
      <x:sz val="10"/>
      <x:name val="Carlito"/>
    </x:font>
    <x:font>
      <x:b/>
      <x:sz val="14"/>
      <x:color rgb="FF78350F"/>
      <x:name val="Carlito"/>
    </x:font>
    <x:font>
      <x:b/>
      <x:sz val="13"/>
      <x:color rgb="FF78350F"/>
      <x:name val="Carlito"/>
    </x:font>
    <x:font>
      <x:b/>
      <x:sz val="11"/>
      <x:color rgb="FFB91C1C"/>
      <x:name val="Carlito"/>
    </x:font>
  </x:fonts>
  <x:fills count="8">
    <x:fill>
      <x:patternFill patternType="none"/>
    </x:fill>
    <x:fill>
      <x:patternFill patternType="gray125"/>
    </x:fill>
    <x:fill>
      <x:patternFill patternType="solid">
        <x:fgColor rgb="FF78350F"/>
      </x:patternFill>
    </x:fill>
    <x:fill>
      <x:patternFill patternType="solid">
        <x:fgColor rgb="FFFEF3C7"/>
      </x:patternFill>
    </x:fill>
    <x:fill>
      <x:patternFill patternType="solid">
        <x:fgColor rgb="FFB45309"/>
      </x:patternFill>
    </x:fill>
    <x:fill>
      <x:patternFill patternType="solid">
        <x:fgColor rgb="FFFFFBEB"/>
      </x:patternFill>
    </x:fill>
    <x:fill>
      <x:patternFill patternType="solid">
        <x:fgColor rgb="FFFFFFFF"/>
      </x:patternFill>
    </x:fill>
    <x:fill>
      <x:patternFill patternType="solid">
        <x:fgColor rgb="FFFEE2E2"/>
      </x:patternFill>
    </x:fill>
  </x:fills>
  <x:borders count="6">
    <x:border/>
    <x:border>
      <x:left style="thin">
        <x:color rgb="FFD6A36A"/>
      </x:left>
      <x:right style="thin">
        <x:color rgb="FFD6A36A"/>
      </x:right>
      <x:top style="thin">
        <x:color rgb="FFD6A36A"/>
      </x:top>
      <x:bottom style="thin">
        <x:color rgb="FFD6A36A"/>
      </x:bottom>
    </x:border>
    <x:border>
      <x:left style="thin">
        <x:color rgb="FFE2E8F0"/>
      </x:left>
      <x:right style="thin">
        <x:color rgb="FFE2E8F0"/>
      </x:right>
      <x:top style="thin">
        <x:color rgb="FFE2E8F0"/>
      </x:top>
      <x:bottom style="thin">
        <x:color rgb="FFE2E8F0"/>
      </x:bottom>
    </x:border>
    <x:border>
      <x:left style="medium">
        <x:color rgb="FFFCA5A5"/>
      </x:left>
      <x:top style="medium">
        <x:color rgb="FFFCA5A5"/>
      </x:top>
      <x:bottom style="medium">
        <x:color rgb="FFFCA5A5"/>
      </x:bottom>
    </x:border>
    <x:border>
      <x:top style="medium">
        <x:color rgb="FFFCA5A5"/>
      </x:top>
      <x:bottom style="medium">
        <x:color rgb="FFFCA5A5"/>
      </x:bottom>
    </x:border>
    <x:border>
      <x:right style="medium">
        <x:color rgb="FFFCA5A5"/>
      </x:right>
      <x:top style="medium">
        <x:color rgb="FFFCA5A5"/>
      </x:top>
      <x:bottom style="medium">
        <x:color rgb="FFFCA5A5"/>
      </x:bottom>
    </x:border>
  </x:borders>
  <x:cellStyleXfs count="1">
    <x:xf numFmtId="0" fontId="0" fillId="0" borderId="0"/>
  </x:cellStyleXfs>
  <x:cellXfs count="5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2" xfId="0" applyNumberFormat="1" applyFont="1" applyFill="1" applyBorder="1" applyAlignment="1">
      <x:alignment wrapText="1"/>
    </x:xf>
    <x:xf numFmtId="0" fontId="4" fillId="0" borderId="2" xfId="0" applyNumberFormat="1" applyFont="1" applyFill="1" applyBorder="1" applyAlignment="1">
      <x:alignment vertical="top" wrapText="1"/>
    </x:xf>
    <x:xf numFmtId="0" fontId="5" fillId="0" borderId="0" xfId="0" applyNumberFormat="1" applyFont="1" applyFill="1" applyBorder="1"/>
    <x:xf numFmtId="0" fontId="5" fillId="0" borderId="2" xfId="0" applyNumberFormat="1" applyFont="1" applyFill="1" applyBorder="1"/>
    <x:xf numFmtId="0" fontId="5" fillId="0" borderId="2" xfId="0" applyNumberFormat="1" applyFont="1" applyFill="1" applyBorder="1" applyAlignment="1">
      <x:alignment wrapText="1"/>
    </x:xf>
    <x:xf numFmtId="0" fontId="5" fillId="0" borderId="2" xfId="0" applyNumberFormat="1" applyFont="1" applyFill="1" applyBorder="1" applyAlignment="1">
      <x:alignment vertical="top" wrapText="1"/>
    </x:xf>
    <x:xf numFmtId="0" fontId="6" fillId="0" borderId="0" xfId="0" applyNumberFormat="1" applyFont="1" applyFill="1" applyBorder="1"/>
    <x:xf numFmtId="0" fontId="6" fillId="0" borderId="2" xfId="0" applyNumberFormat="1" applyFont="1" applyFill="1" applyBorder="1"/>
    <x:xf numFmtId="0" fontId="6" fillId="0" borderId="2" xfId="0" applyNumberFormat="1" applyFont="1" applyFill="1" applyBorder="1" applyAlignment="1">
      <x:alignment wrapText="1"/>
    </x:xf>
    <x:xf numFmtId="0" fontId="6" fillId="0" borderId="2" xfId="0" applyNumberFormat="1" applyFont="1" applyFill="1" applyBorder="1" applyAlignment="1">
      <x:alignment vertical="top" wrapText="1"/>
    </x:xf>
    <x:xf numFmtId="0" fontId="3" fillId="4" borderId="1" xfId="0" applyNumberFormat="1" applyFont="1" applyFill="1" applyBorder="1" applyAlignment="1">
      <x:alignment horizontal="center"/>
    </x:xf>
    <x:xf numFmtId="0" fontId="0" fillId="0" borderId="0" xfId="0" applyNumberFormat="1" applyFont="1" applyFill="1" applyBorder="1"/>
    <x:xf numFmtId="0" fontId="0" fillId="0" borderId="2" xfId="0" applyNumberFormat="1" applyFont="1" applyFill="1" applyBorder="1"/>
    <x:xf numFmtId="0" fontId="0" fillId="0" borderId="2" xfId="0" applyNumberFormat="1" applyFont="1" applyFill="1" applyBorder="1" applyAlignment="1">
      <x:alignment vertical="center"/>
    </x:xf>
    <x:xf numFmtId="0" fontId="0" fillId="5" borderId="2" xfId="0" applyNumberFormat="1" applyFont="1" applyFill="1" applyBorder="1" applyAlignment="1">
      <x:alignment vertical="center"/>
    </x:xf>
    <x:xf numFmtId="0" fontId="7" fillId="5" borderId="2" xfId="0" applyNumberFormat="1" applyFont="1" applyFill="1" applyBorder="1" applyAlignment="1">
      <x:alignment vertical="center"/>
    </x:xf>
    <x:xf numFmtId="0" fontId="7" fillId="5" borderId="2" xfId="0" applyNumberFormat="1" applyFont="1" applyFill="1" applyBorder="1" applyAlignment="1">
      <x:alignment horizontal="center" vertical="center"/>
    </x:xf>
    <x:xf numFmtId="0" fontId="3" fillId="4" borderId="0" xfId="0" applyNumberFormat="1" applyFont="1" applyFill="1" applyBorder="1" applyAlignment="1">
      <x:alignment horizontal="center"/>
    </x:xf>
    <x:xf numFmtId="0" fontId="0" fillId="6" borderId="0" xfId="0" applyNumberFormat="1" applyFont="1" applyFill="1" applyBorder="1"/>
    <x:xf numFmtId="0" fontId="6" fillId="6" borderId="0" xfId="0" applyNumberFormat="1" applyFont="1" applyFill="1" applyBorder="1"/>
    <x:xf numFmtId="0" fontId="6" fillId="6" borderId="2" xfId="0" applyNumberFormat="1" applyFont="1" applyFill="1" applyBorder="1"/>
    <x:xf numFmtId="0" fontId="6" fillId="6" borderId="2" xfId="0" applyNumberFormat="1" applyFont="1" applyFill="1" applyBorder="1" applyAlignment="1">
      <x:alignment wrapText="1"/>
    </x:xf>
    <x:xf numFmtId="0" fontId="6" fillId="6" borderId="2" xfId="0" applyNumberFormat="1" applyFont="1" applyFill="1" applyBorder="1" applyAlignment="1">
      <x:alignment vertical="center" wrapText="1"/>
    </x:xf>
    <x:xf numFmtId="0" fontId="6" fillId="3" borderId="2" xfId="0" applyNumberFormat="1" applyFont="1" applyFill="1" applyBorder="1" applyAlignment="1">
      <x:alignment vertical="center" wrapText="1"/>
    </x:xf>
    <x:xf numFmtId="0" fontId="8" fillId="3" borderId="2" xfId="0" applyNumberFormat="1" applyFont="1" applyFill="1" applyBorder="1" applyAlignment="1">
      <x:alignment vertical="center" wrapText="1"/>
    </x:xf>
    <x:xf numFmtId="0" fontId="8" fillId="3" borderId="2" xfId="0" applyNumberFormat="1" applyFont="1" applyFill="1" applyBorder="1" applyAlignment="1">
      <x:alignment horizontal="center" vertical="center" wrapText="1"/>
    </x:xf>
    <x:xf numFmtId="0" fontId="0" fillId="7" borderId="0" xfId="0" applyNumberFormat="1" applyFont="1" applyFill="1" applyBorder="1"/>
    <x:xf numFmtId="0" fontId="9" fillId="7" borderId="0" xfId="0" applyNumberFormat="1" applyFont="1" applyFill="1" applyBorder="1"/>
    <x:xf numFmtId="0" fontId="9" fillId="7" borderId="3" xfId="0" applyNumberFormat="1" applyFont="1" applyFill="1" applyBorder="1"/>
    <x:xf numFmtId="0" fontId="9" fillId="7" borderId="4" xfId="0" applyNumberFormat="1" applyFont="1" applyFill="1" applyBorder="1"/>
    <x:xf numFmtId="0" fontId="9" fillId="7" borderId="5" xfId="0" applyNumberFormat="1" applyFont="1" applyFill="1" applyBorder="1"/>
    <x:xf numFmtId="0" fontId="9" fillId="7" borderId="3" xfId="0" applyNumberFormat="1" applyFont="1" applyFill="1" applyBorder="1" applyAlignment="1">
      <x:alignment wrapText="1"/>
    </x:xf>
    <x:xf numFmtId="0" fontId="9" fillId="7" borderId="4" xfId="0" applyNumberFormat="1" applyFont="1" applyFill="1" applyBorder="1" applyAlignment="1">
      <x:alignment wrapText="1"/>
    </x:xf>
    <x:xf numFmtId="0" fontId="9" fillId="7" borderId="5" xfId="0" applyNumberFormat="1" applyFont="1" applyFill="1" applyBorder="1" applyAlignment="1">
      <x:alignment wrapText="1"/>
    </x:xf>
    <x:xf numFmtId="0" fontId="9" fillId="7" borderId="3" xfId="0" applyNumberFormat="1" applyFont="1" applyFill="1" applyBorder="1" applyAlignment="1">
      <x:alignment vertical="center" wrapText="1"/>
    </x:xf>
    <x:xf numFmtId="0" fontId="9" fillId="7" borderId="4" xfId="0" applyNumberFormat="1" applyFont="1" applyFill="1" applyBorder="1" applyAlignment="1">
      <x:alignment vertical="center" wrapText="1"/>
    </x:xf>
    <x:xf numFmtId="0" fontId="9" fillId="7" borderId="5" xfId="0" applyNumberFormat="1" applyFont="1" applyFill="1" applyBorder="1" applyAlignment="1">
      <x:alignment vertical="center" wrapText="1"/>
    </x:xf>
  </x:cellXfs>
  <x:cellStyles count="1">
    <x:cellStyle name="Normal" xfId="0"/>
  </x:cellStyles>
  <x:dxfs count="8">
    <x:dxf>
      <x:font>
        <x:b/>
        <x:color rgb="FF166534"/>
      </x:font>
      <x:fill>
        <x:patternFill patternType="solid">
          <x:bgColor rgb="FFDCFCE7"/>
        </x:patternFill>
      </x:fill>
    </x:dxf>
    <x:dxf>
      <x:font>
        <x:b/>
        <x:color rgb="FF3F6212"/>
      </x:font>
      <x:fill>
        <x:patternFill patternType="solid">
          <x:bgColor rgb="FFECFCCB"/>
        </x:patternFill>
      </x:fill>
    </x:dxf>
    <x:dxf>
      <x:font>
        <x:b/>
        <x:color rgb="FF78350F"/>
      </x:font>
      <x:fill>
        <x:patternFill patternType="solid">
          <x:bgColor rgb="FFFEF3C7"/>
        </x:patternFill>
      </x:fill>
    </x:dxf>
    <x:dxf>
      <x:font>
        <x:b/>
        <x:color rgb="FFB91C1C"/>
      </x:font>
      <x:fill>
        <x:patternFill patternType="solid">
          <x:bgColor rgb="FFFEE2E2"/>
        </x:patternFill>
      </x:fill>
    </x:dxf>
    <x:dxf>
      <x:font>
        <x:b/>
        <x:color rgb="FF166534"/>
      </x:font>
      <x:fill>
        <x:patternFill patternType="solid">
          <x:bgColor rgb="FFDCFCE7"/>
        </x:patternFill>
      </x:fill>
    </x:dxf>
    <x:dxf>
      <x:font>
        <x:b/>
        <x:color rgb="FF3F6212"/>
      </x:font>
      <x:fill>
        <x:patternFill patternType="solid">
          <x:bgColor rgb="FFECFCCB"/>
        </x:patternFill>
      </x:fill>
    </x:dxf>
    <x:dxf>
      <x:font>
        <x:b/>
        <x:color rgb="FF78350F"/>
      </x:font>
      <x:fill>
        <x:patternFill patternType="solid">
          <x:bgColor rgb="FFFEF3C7"/>
        </x:patternFill>
      </x:fill>
    </x:dxf>
    <x:dxf>
      <x:font>
        <x:b/>
        <x:color rgb="FFB91C1C"/>
      </x:font>
      <x:fill>
        <x:patternFill patternType="solid">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825970ecc2540ec" /><Relationship Type="http://schemas.openxmlformats.org/officeDocument/2006/relationships/theme" Target="/xl/theme/theme1.xml" Id="R10600b3957d04a90" /><Relationship Type="http://schemas.openxmlformats.org/officeDocument/2006/relationships/sharedStrings" Target="/xl/sharedStrings.xml" Id="Rdc8905cd10834f69" /><Relationship Type="http://schemas.openxmlformats.org/officeDocument/2006/relationships/worksheet" Target="/xl/worksheets/sheet1.xml" Id="Rbf00211c6ec2423d" /><Relationship Type="http://schemas.openxmlformats.org/officeDocument/2006/relationships/worksheet" Target="/xl/worksheets/sheet2.xml" Id="Re2c7f0a629274c51" /><Relationship Type="http://schemas.openxmlformats.org/officeDocument/2006/relationships/worksheet" Target="/xl/worksheets/sheet3.xml" Id="Raa1efde585ca4fd1" /><Relationship Type="http://schemas.openxmlformats.org/officeDocument/2006/relationships/worksheet" Target="/xl/worksheets/sheet4.xml" Id="Rdf31302c7b6142eb" /><Relationship Type="http://schemas.openxmlformats.org/officeDocument/2006/relationships/worksheet" Target="/xl/worksheets/sheet5.xml" Id="Rd0b6e92b16684fa2" /></Relationships>
</file>

<file path=xl/tables/table1.xml><?xml version="1.0" encoding="utf-8"?>
<x:table xmlns:x="http://schemas.openxmlformats.org/spreadsheetml/2006/main" id="1" name="ConfirmedSojuProducers" displayName="ConfirmedSojuProducers" ref="A4:T69" headerRowCount="1" totalsRowCount="0" totalsRowShown="0">
  <x:autoFilter ref="A4:T69"/>
  <x:tableColumns count="20">
    <x:tableColumn id="1" name="생산자 종류"/>
    <x:tableColumn id="2" name="한국어명"/>
    <x:tableColumn id="3" name="영어명"/>
    <x:tableColumn id="4" name="설립연도"/>
    <x:tableColumn id="5" name="웹사이트"/>
    <x:tableColumn id="6" name="검색 별칭"/>
    <x:tableColumn id="7" name="국가"/>
    <x:tableColumn id="8" name="지역"/>
    <x:tableColumn id="9" name="소개 (한국어)"/>
    <x:tableColumn id="10" name="소개 (영어)"/>
    <x:tableColumn id="11" name="대표 소주 제품"/>
    <x:tableColumn id="12" name="소주 유형"/>
    <x:tableColumn id="13" name="2026 활동 근거"/>
    <x:tableColumn id="14" name="출처 1 URL"/>
    <x:tableColumn id="15" name="출처 2 URL"/>
    <x:tableColumn id="16" name="출처 3 URL"/>
    <x:tableColumn id="17" name="교차검증 상태"/>
    <x:tableColumn id="18" name="설립연도 근거·주의"/>
    <x:tableColumn id="19" name="영문명 표기"/>
    <x:tableColumn id="20" name="등록 전 검토 메모"/>
  </x:tableColumns>
  <x:tableStyleInfo name="TableStyleMedium2" showFirstColumn="0" showLastColumn="0" showRowStripes="1" showColumnStripes="0"/>
</x:table>
</file>

<file path=xl/tables/table2.xml><?xml version="1.0" encoding="utf-8"?>
<x:table xmlns:x="http://schemas.openxmlformats.org/spreadsheetml/2006/main" id="2" name="CandidateSojuProducers" displayName="CandidateSojuProducers" ref="A4:T31" headerRowCount="1" totalsRowCount="0" totalsRowShown="0">
  <x:autoFilter ref="A4:T31"/>
  <x:tableColumns count="20">
    <x:tableColumn id="1" name="생산자 종류"/>
    <x:tableColumn id="2" name="한국어명"/>
    <x:tableColumn id="3" name="영어명"/>
    <x:tableColumn id="4" name="설립연도"/>
    <x:tableColumn id="5" name="웹사이트"/>
    <x:tableColumn id="6" name="검색 별칭"/>
    <x:tableColumn id="7" name="국가"/>
    <x:tableColumn id="8" name="지역"/>
    <x:tableColumn id="9" name="소개 (한국어)"/>
    <x:tableColumn id="10" name="소개 (영어)"/>
    <x:tableColumn id="11" name="대표 소주 제품"/>
    <x:tableColumn id="12" name="소주 유형"/>
    <x:tableColumn id="13" name="2026 활동 근거"/>
    <x:tableColumn id="14" name="출처 1 URL"/>
    <x:tableColumn id="15" name="출처 2 URL"/>
    <x:tableColumn id="16" name="출처 3 URL"/>
    <x:tableColumn id="17" name="교차검증 상태"/>
    <x:tableColumn id="18" name="설립연도 근거·주의"/>
    <x:tableColumn id="19" name="영문명 표기"/>
    <x:tableColumn id="20" name="등록 전 검토 메모"/>
  </x:tableColumns>
  <x:tableStyleInfo name="TableStyleMedium2" showFirstColumn="0" showLastColumn="0" showRowStripes="1" showColumnStripes="0"/>
</x:table>
</file>

<file path=xl/tables/table3.xml><?xml version="1.0" encoding="utf-8"?>
<x:table xmlns:x="http://schemas.openxmlformats.org/spreadsheetml/2006/main" id="3" name="ExcludedAndMerged" displayName="ExcludedAndMerged" ref="A4:G30" headerRowCount="1" totalsRowCount="0" totalsRowShown="0">
  <x:tableColumns count="7">
    <x:tableColumn id="1" name="원표기"/>
    <x:tableColumn id="2" name="처리"/>
    <x:tableColumn id="3" name="통합/권장 생산자"/>
    <x:tableColumn id="4" name="대표 제품"/>
    <x:tableColumn id="5" name="이유"/>
    <x:tableColumn id="6" name="근거 URL"/>
    <x:tableColumn id="7" name="메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96b1fdd31e34c8a" /></Relationships>
</file>

<file path=xl/worksheets/_rels/sheet3.xml.rels>&#65279;<?xml version="1.0" encoding="utf-8"?><Relationships xmlns="http://schemas.openxmlformats.org/package/2006/relationships"><Relationship Type="http://schemas.openxmlformats.org/officeDocument/2006/relationships/table" Target="/xl/tables/table2.xml" Id="R741888dd6a034a13" /></Relationships>
</file>

<file path=xl/worksheets/_rels/sheet4.xml.rels>&#65279;<?xml version="1.0" encoding="utf-8"?><Relationships xmlns="http://schemas.openxmlformats.org/package/2006/relationships"><Relationship Type="http://schemas.openxmlformats.org/officeDocument/2006/relationships/table" Target="/xl/tables/table3.xml" Id="Re60e8652d1094c89"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4" hidden="0" customWidth="1"/>
    <x:col min="4" max="4" width="8" hidden="0" customWidth="1"/>
    <x:col min="5" max="5" width="34" hidden="0" customWidth="1"/>
    <x:col min="6" max="6" width="18" hidden="0" customWidth="1"/>
    <x:col min="7" max="7" width="18" hidden="0" customWidth="1"/>
    <x:col min="8" max="8" width="18" hidden="0" customWidth="1"/>
  </x:cols>
  <x:sheetData>
    <x:row r="1" ht="32" customHeight="1">
      <x:c r="A1" s="3" t="str">
        <x:v>2026 대한민국 소주 제조사 조사 요약</x:v>
      </x:c>
      <x:c r="B1" s="3"/>
      <x:c r="C1" s="3"/>
      <x:c r="D1" s="3"/>
      <x:c r="E1" s="3"/>
      <x:c r="F1" s="3"/>
      <x:c r="G1" s="3"/>
      <x:c r="H1" s="3"/>
    </x:row>
    <x:row r="2" ht="38" customHeight="1">
      <x:c r="A2" s="7" t="str">
        <x:v>관리자 등록용 확정 목록과 검토 후보를 분리한 작업용 엑셀입니다.</x:v>
      </x:c>
      <x:c r="B2" s="7"/>
      <x:c r="C2" s="7"/>
      <x:c r="D2" s="7"/>
      <x:c r="E2" s="7"/>
      <x:c r="F2" s="7"/>
      <x:c r="G2" s="7"/>
      <x:c r="H2" s="7"/>
    </x:row>
    <x:row r="4">
      <x:c r="A4" s="26" t="str">
        <x:v>핵심 지표</x:v>
      </x:c>
      <x:c r="B4" s="26" t="str">
        <x:v>값</x:v>
      </x:c>
      <x:c r="D4" s="33" t="str">
        <x:v>사용 순서</x:v>
      </x:c>
      <x:c r="E4" s="33"/>
      <x:c r="F4" s="33"/>
      <x:c r="G4" s="33"/>
      <x:c r="H4" s="33"/>
    </x:row>
    <x:row r="5" ht="38" customHeight="1">
      <x:c r="A5" s="29" t="str">
        <x:v>등록용 확정 제조사</x:v>
      </x:c>
      <x:c r="B5" s="32" t="n">
        <x:f>COUNTA('등록용_확정'!B5:B300)</x:f>
        <x:v>65</x:v>
      </x:c>
      <x:c r="D5" s="41" t="str">
        <x:v>1</x:v>
      </x:c>
      <x:c r="E5" s="38" t="str">
        <x:v>등록용_확정에서 A:J를 관리자 폼에 복사</x:v>
      </x:c>
      <x:c r="F5" s="38" t="str"/>
      <x:c r="G5" s="38" t="str"/>
      <x:c r="H5" s="38" t="str"/>
    </x:row>
    <x:row r="6" ht="38" customHeight="1">
      <x:c r="A6" s="29" t="str">
        <x:v>검토 필요 후보</x:v>
      </x:c>
      <x:c r="B6" s="32" t="n">
        <x:f>COUNTA('검토필요_후보'!B5:B300)</x:f>
        <x:v>27</x:v>
      </x:c>
      <x:c r="D6" s="41" t="str">
        <x:v>2</x:v>
      </x:c>
      <x:c r="E6" s="38" t="str">
        <x:v>A등급부터 등록하고 B등급은 출처·공식 영문명을 한 번 더 확인</x:v>
      </x:c>
      <x:c r="F6" s="38" t="str"/>
      <x:c r="G6" s="38" t="str"/>
      <x:c r="H6" s="38" t="str"/>
    </x:row>
    <x:row r="7" ht="38" customHeight="1">
      <x:c r="A7" s="29" t="str">
        <x:v>제외·중복 처리</x:v>
      </x:c>
      <x:c r="B7" s="32" t="n">
        <x:f>COUNTA('제외_중복'!A5:A300)</x:f>
        <x:v>26</x:v>
      </x:c>
      <x:c r="D7" s="41" t="str">
        <x:v>3</x:v>
      </x:c>
      <x:c r="E7" s="38" t="str">
        <x:v>검토필요_후보는 제조사 문의 또는 현재 판매 페이지 확인 후 이동</x:v>
      </x:c>
      <x:c r="F7" s="38" t="str"/>
      <x:c r="G7" s="38" t="str"/>
      <x:c r="H7" s="38" t="str"/>
    </x:row>
    <x:row r="8" ht="38" customHeight="1">
      <x:c r="A8" s="29" t="str">
        <x:v>2026 공식/활동 A등급</x:v>
      </x:c>
      <x:c r="B8" s="32" t="n">
        <x:f>COUNTIF('등록용_확정'!Q5:Q300,"A | 2026 공식 확인")+COUNTIF('등록용_확정'!Q5:Q300,"A | 2026 활동 확인")</x:f>
        <x:v>11</x:v>
      </x:c>
      <x:c r="D8" s="41" t="str">
        <x:v>4</x:v>
      </x:c>
      <x:c r="E8" s="38" t="str">
        <x:v>제외_중복의 통합 대상은 생산자 1건만 생성</x:v>
      </x:c>
      <x:c r="F8" s="38" t="str"/>
      <x:c r="G8" s="38" t="str"/>
      <x:c r="H8" s="38" t="str"/>
    </x:row>
    <x:row r="9" ht="38" customHeight="1">
      <x:c r="A9" s="29" t="str">
        <x:v>2개 출처 일치 B등급</x:v>
      </x:c>
      <x:c r="B9" s="32" t="n">
        <x:f>COUNTIF('등록용_확정'!Q5:Q300,"B | 2개 출처 일치")</x:f>
        <x:v>54</x:v>
      </x:c>
      <x:c r="D9" s="41" t="str">
        <x:v>5</x:v>
      </x:c>
      <x:c r="E9" s="38" t="str">
        <x:v>모든 소주 생산자 종류는 OTHER, 제품 otherType은 SOJU</x:v>
      </x:c>
      <x:c r="F9" s="38" t="str"/>
      <x:c r="G9" s="38" t="str"/>
      <x:c r="H9" s="38" t="str"/>
    </x:row>
    <x:row r="10" ht="30" customHeight="1">
      <x:c r="A10" s="29" t="str">
        <x:v>설립연도 미확인(확정)</x:v>
      </x:c>
      <x:c r="B10" s="32" t="n">
        <x:f>COUNTBLANK('등록용_확정'!D5:D69)</x:f>
        <x:v>55</x:v>
      </x:c>
    </x:row>
    <x:row r="11" ht="30" customHeight="1">
      <x:c r="A11" s="29" t="str">
        <x:v>웹사이트 미확인(확정)</x:v>
      </x:c>
      <x:c r="B11" s="32" t="n">
        <x:f>COUNTBLANK('등록용_확정'!E5:E69)</x:f>
        <x:v>4</x:v>
      </x:c>
    </x:row>
    <x:row r="13" ht="54" customHeight="1">
      <x:c r="A13" s="50" t="str">
        <x:v>중요: 공개 자료만으로 현재 면허 보유 업체와 실시간 판매 상태를 100% 증명할 수는 없습니다. 이 파일은 공공·공식 근거를 교차 확인한 최대 포괄 목록이며, 미확인 건을 별도 시트로 분리했습니다.</x:v>
      </x:c>
      <x:c r="B13" s="51"/>
      <x:c r="C13" s="51"/>
      <x:c r="D13" s="51"/>
      <x:c r="E13" s="51"/>
      <x:c r="F13" s="51"/>
      <x:c r="G13" s="51"/>
      <x:c r="H13" s="52"/>
    </x:row>
  </x:sheetData>
  <x:mergeCells>
    <x:mergeCell ref="A1:H1"/>
    <x:mergeCell ref="A2:H2"/>
    <x:mergeCell ref="D4:H4"/>
    <x:mergeCell ref="E5:H5"/>
    <x:mergeCell ref="E6:H6"/>
    <x:mergeCell ref="E7:H7"/>
    <x:mergeCell ref="E8:H8"/>
    <x:mergeCell ref="E9:H9"/>
    <x:mergeCell ref="A13:H1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27" hidden="0" customWidth="1"/>
    <x:col min="3" max="3" width="33" hidden="0" customWidth="1"/>
    <x:col min="4" max="4" width="11" hidden="0" customWidth="1"/>
    <x:col min="5" max="5" width="34" hidden="0" customWidth="1"/>
    <x:col min="6" max="6" width="45" hidden="0" customWidth="1"/>
    <x:col min="7" max="7" width="12" hidden="0" customWidth="1"/>
    <x:col min="8" max="8" width="14" hidden="0" customWidth="1"/>
    <x:col min="9" max="9" width="58" hidden="0" customWidth="1"/>
    <x:col min="10" max="10" width="58" hidden="0" customWidth="1"/>
    <x:col min="11" max="11" width="38" hidden="0" customWidth="1"/>
    <x:col min="12" max="12" width="16" hidden="0" customWidth="1"/>
    <x:col min="13" max="13" width="38" hidden="0" customWidth="1"/>
    <x:col min="14" max="14" width="44" hidden="0" customWidth="1"/>
    <x:col min="15" max="15" width="44" hidden="0" customWidth="1"/>
    <x:col min="16" max="16" width="44" hidden="0" customWidth="1"/>
    <x:col min="17" max="17" width="22" hidden="0" customWidth="1"/>
    <x:col min="18" max="18" width="34" hidden="0" customWidth="1"/>
    <x:col min="19" max="19" width="28" hidden="0" customWidth="1"/>
    <x:col min="20" max="20" width="42" hidden="0" customWidth="1"/>
  </x:cols>
  <x:sheetData>
    <x:row r="1" ht="32" customHeight="1">
      <x:c r="A1" s="3" t="str">
        <x:v>대한민국 소주 제조사 — 등록용 확정</x:v>
      </x:c>
      <x:c r="B1" s="3"/>
      <x:c r="C1" s="3"/>
      <x:c r="D1" s="3"/>
      <x:c r="E1" s="3"/>
      <x:c r="F1" s="3"/>
      <x:c r="G1" s="3"/>
      <x:c r="H1" s="3"/>
      <x:c r="I1" s="3"/>
      <x:c r="J1" s="3"/>
      <x:c r="K1" s="3"/>
      <x:c r="L1" s="3"/>
      <x:c r="M1" s="3"/>
      <x:c r="N1" s="3"/>
      <x:c r="O1" s="3"/>
      <x:c r="P1" s="3"/>
      <x:c r="Q1" s="3"/>
      <x:c r="R1" s="3"/>
      <x:c r="S1" s="3"/>
      <x:c r="T1" s="3"/>
    </x:row>
    <x:row r="2" ht="38" customHeight="1">
      <x:c r="A2" s="7" t="str">
        <x:v>조사 기준일 2026-09-01 · 관리자 새 생산자 등록 필드 A:J · 확정 65개사</x:v>
      </x:c>
      <x:c r="B2" s="7"/>
      <x:c r="C2" s="7"/>
      <x:c r="D2" s="7"/>
      <x:c r="E2" s="7"/>
      <x:c r="F2" s="7"/>
      <x:c r="G2" s="7"/>
      <x:c r="H2" s="7"/>
      <x:c r="I2" s="7"/>
      <x:c r="J2" s="7"/>
      <x:c r="K2" s="7"/>
      <x:c r="L2" s="7"/>
      <x:c r="M2" s="7"/>
      <x:c r="N2" s="7"/>
      <x:c r="O2" s="7"/>
      <x:c r="P2" s="7"/>
      <x:c r="Q2" s="7"/>
      <x:c r="R2" s="7"/>
      <x:c r="S2" s="7"/>
      <x:c r="T2" s="7"/>
    </x:row>
    <x:row r="4" ht="36" customHeight="1">
      <x:c r="A4" s="13" t="str">
        <x:v>생산자 종류</x:v>
      </x:c>
      <x:c r="B4" s="13" t="str">
        <x:v>한국어명</x:v>
      </x:c>
      <x:c r="C4" s="13" t="str">
        <x:v>영어명</x:v>
      </x:c>
      <x:c r="D4" s="13" t="str">
        <x:v>설립연도</x:v>
      </x:c>
      <x:c r="E4" s="13" t="str">
        <x:v>웹사이트</x:v>
      </x:c>
      <x:c r="F4" s="13" t="str">
        <x:v>검색 별칭</x:v>
      </x:c>
      <x:c r="G4" s="13" t="str">
        <x:v>국가</x:v>
      </x:c>
      <x:c r="H4" s="13" t="str">
        <x:v>지역</x:v>
      </x:c>
      <x:c r="I4" s="13" t="str">
        <x:v>소개 (한국어)</x:v>
      </x:c>
      <x:c r="J4" s="13" t="str">
        <x:v>소개 (영어)</x:v>
      </x:c>
      <x:c r="K4" s="13" t="str">
        <x:v>대표 소주 제품</x:v>
      </x:c>
      <x:c r="L4" s="13" t="str">
        <x:v>소주 유형</x:v>
      </x:c>
      <x:c r="M4" s="13" t="str">
        <x:v>2026 활동 근거</x:v>
      </x:c>
      <x:c r="N4" s="13" t="str">
        <x:v>출처 1 URL</x:v>
      </x:c>
      <x:c r="O4" s="13" t="str">
        <x:v>출처 2 URL</x:v>
      </x:c>
      <x:c r="P4" s="13" t="str">
        <x:v>출처 3 URL</x:v>
      </x:c>
      <x:c r="Q4" s="13" t="str">
        <x:v>교차검증 상태</x:v>
      </x:c>
      <x:c r="R4" s="13" t="str">
        <x:v>설립연도 근거·주의</x:v>
      </x:c>
      <x:c r="S4" s="13" t="str">
        <x:v>영문명 표기</x:v>
      </x:c>
      <x:c r="T4" s="13" t="str">
        <x:v>등록 전 검토 메모</x:v>
      </x:c>
    </x:row>
    <x:row r="5" ht="78" customHeight="1">
      <x:c r="A5" s="17" t="str">
        <x:v>OTHER</x:v>
      </x:c>
      <x:c r="B5" s="17" t="str">
        <x:v>하이트진로㈜</x:v>
      </x:c>
      <x:c r="C5" s="17" t="str">
        <x:v>HiteJinro Co., Ltd.</x:v>
      </x:c>
      <x:c r="D5" s="17" t="n">
        <x:v>1924</x:v>
      </x:c>
      <x:c r="E5" s="17" t="str">
        <x:v>https://www.hitejinro.com/</x:v>
      </x:c>
      <x:c r="F5" s="17" t="str">
        <x:v>하이트진로, 진로, 참이슬, 일품진로, 하이트진로㈜, HiteJinro Co., Ltd.</x:v>
      </x:c>
      <x:c r="G5" s="17" t="str">
        <x:v>대한민국</x:v>
      </x:c>
      <x:c r="H5" s="17" t="str"/>
      <x:c r="I5" s="17" t="str">
        <x:v>하이트진로㈜(HiteJinro Co., Ltd.)은 대한민국에서 운영되는 대한민국의 희석식·증류식 소주 제조사입니다. 1924년 설립 또는 계승 연혁을 기준으로 하며, 공개 자료에서 참이슬·진로·일품진로의 제조사로 확인됩니다. 2026.05.26 국세청 K-SUUL 참가 제품(참이슬·일품진로) 확인</x:v>
      </x:c>
      <x:c r="J5" s="17" t="str">
        <x:v>하이트진로㈜ (HiteJinro Co., Ltd.) is a diluted and distilled soju producer operating in South Korea. Its public history is traced to 1924. Public sources identify it as the producer of 참이슬·진로·일품진로. The producer and its soju activity were cross-checked against public and independent producer, sales, or government sources during the 2026 review.</x:v>
      </x:c>
      <x:c r="K5" s="17" t="str">
        <x:v>참이슬, 진로, 일품진로</x:v>
      </x:c>
      <x:c r="L5" s="17" t="str">
        <x:v>희석식·증류식</x:v>
      </x:c>
      <x:c r="M5" s="17" t="str">
        <x:v>2026.05.26 국세청 K-SUUL 참가 제품(참이슬·일품진로) 확인</x:v>
      </x:c>
      <x:c r="N5" s="17" t="str">
        <x:v>https://t.nts.go.kr/dongdaegu/na/ntt/selectNttInfo.do?mi=2201&amp;nttSn=1351814</x:v>
      </x:c>
      <x:c r="O5" s="17" t="str">
        <x:v>https://comp.wisereport.co.kr/ibk/company/c1010001.aspx?cmp_cd=000080</x:v>
      </x:c>
      <x:c r="P5" s="17" t="str">
        <x:v>https://i.nts.go.kr/llsc/na/ntt/selectNttList.do?bbsId=22830&amp;mi=1511</x:v>
      </x:c>
      <x:c r="Q5" s="17" t="str">
        <x:v>A | 2026 공식 확인</x:v>
      </x:c>
      <x:c r="R5" s="17" t="str">
        <x:v>1924년 진천양조상회 창립을 회사 연혁의 기점으로 사용</x:v>
      </x:c>
      <x:c r="S5" s="17" t="str">
        <x:v>공식 또는 널리 쓰이는 영문 표기</x:v>
      </x:c>
      <x:c r="T5" s="17" t="str">
        <x:v>복수 생산 거점으로 지역을 비워 둠</x:v>
      </x:c>
    </x:row>
    <x:row r="6" ht="78" customHeight="1">
      <x:c r="A6" s="17" t="str">
        <x:v>OTHER</x:v>
      </x:c>
      <x:c r="B6" s="17" t="str">
        <x:v>롯데칠성음료㈜</x:v>
      </x:c>
      <x:c r="C6" s="17" t="str">
        <x:v>LOTTE Chilsung Beverage Co., Ltd.</x:v>
      </x:c>
      <x:c r="D6" s="17" t="n">
        <x:v>1950</x:v>
      </x:c>
      <x:c r="E6" s="17" t="str">
        <x:v>https://company.lottechilsung.co.kr/</x:v>
      </x:c>
      <x:c r="F6" s="17" t="str">
        <x:v>롯데주류, 처음처럼, 새로, 대장부, 여울, 롯데칠성음료㈜, LOTTE Chilsung Beverage Co., Ltd.</x:v>
      </x:c>
      <x:c r="G6" s="17" t="str">
        <x:v>대한민국</x:v>
      </x:c>
      <x:c r="H6" s="17" t="str"/>
      <x:c r="I6" s="17" t="str">
        <x:v>롯데칠성음료㈜(LOTTE Chilsung Beverage Co., Ltd.)은 대한민국에서 운영되는 대한민국의 희석식·증류식 소주 제조사입니다. 1950년 설립 또는 계승 연혁을 기준으로 하며, 공개 자료에서 처음처럼·새로·대장부의 제조사로 확인됩니다. 2026.05.26 국세청 K-SUUL 참가 제품(새로) 및 공식 회사 자료 확인</x:v>
      </x:c>
      <x:c r="J6" s="17" t="str">
        <x:v>롯데칠성음료㈜ (LOTTE Chilsung Beverage Co., Ltd.) is a diluted and distilled soju producer operating in South Korea. Its public history is traced to 1950. Public sources identify it as the producer of 처음처럼·새로·대장부. The producer and its soju activity were cross-checked against public and independent producer, sales, or government sources during the 2026 review.</x:v>
      </x:c>
      <x:c r="K6" s="17" t="str">
        <x:v>처음처럼, 새로, 대장부</x:v>
      </x:c>
      <x:c r="L6" s="17" t="str">
        <x:v>희석식·증류식</x:v>
      </x:c>
      <x:c r="M6" s="17" t="str">
        <x:v>2026.05.26 국세청 K-SUUL 참가 제품(새로) 및 공식 회사 자료 확인</x:v>
      </x:c>
      <x:c r="N6" s="17" t="str">
        <x:v>https://t.nts.go.kr/dongdaegu/na/ntt/selectNttInfo.do?mi=2201&amp;nttSn=1351814</x:v>
      </x:c>
      <x:c r="O6" s="17" t="str">
        <x:v>https://company.lottechilsung.co.kr/kor/company/lcceo/contentsid/830/index.do</x:v>
      </x:c>
      <x:c r="P6" s="17" t="str">
        <x:v>https://i.nts.go.kr/llsc/na/ntt/selectNttList.do?bbsId=22830&amp;mi=1511</x:v>
      </x:c>
      <x:c r="Q6" s="17" t="str">
        <x:v>A | 2026 공식 확인</x:v>
      </x:c>
      <x:c r="R6" s="17" t="str">
        <x:v>롯데칠성음료 창립연도. 주류사업은 2011년 롯데주류 합병 이후 통합</x:v>
      </x:c>
      <x:c r="S6" s="17" t="str">
        <x:v>공식 또는 널리 쓰이는 영문 표기</x:v>
      </x:c>
      <x:c r="T6" s="17" t="str">
        <x:v>복수 생산 거점으로 지역을 비워 둠</x:v>
      </x:c>
    </x:row>
    <x:row r="7" ht="78" customHeight="1">
      <x:c r="A7" s="17" t="str">
        <x:v>OTHER</x:v>
      </x:c>
      <x:c r="B7" s="17" t="str">
        <x:v>㈜무학</x:v>
      </x:c>
      <x:c r="C7" s="17" t="str">
        <x:v>Muhak Co., Ltd.</x:v>
      </x:c>
      <x:c r="D7" s="17" t="n">
        <x:v>1929</x:v>
      </x:c>
      <x:c r="E7" s="17" t="str">
        <x:v>https://www.muhak.co.kr/</x:v>
      </x:c>
      <x:c r="F7" s="17" t="str">
        <x:v>무학, 좋은데이, 화이트, ㈜무학, Muhak Co., Ltd.</x:v>
      </x:c>
      <x:c r="G7" s="17" t="str">
        <x:v>대한민국</x:v>
      </x:c>
      <x:c r="H7" s="17" t="str">
        <x:v>경상남도</x:v>
      </x:c>
      <x:c r="I7" s="17" t="str">
        <x:v>㈜무학(Muhak Co., Ltd.)은 경상남도에 기반을 둔 대한민국의 희석식 소주 제조사입니다. 1929년 설립 또는 계승 연혁을 기준으로 하며, 공개 자료에서 좋은데이·화이트의 제조사로 확인됩니다. 2026.03.09 공식 좋은데이 리뉴얼 출시 자료와 2026 국세청 참가 명단 확인</x:v>
      </x:c>
      <x:c r="J7" s="17" t="str">
        <x:v>㈜무학 (Muhak Co., Ltd.) is a diluted soju producer based in Gyeongsangnam-do, South Korea. Its public history is traced to 1929. Public sources identify it as the producer of 좋은데이·화이트. The producer and its soju activity were cross-checked against public and independent producer, sales, or government sources during the 2026 review.</x:v>
      </x:c>
      <x:c r="K7" s="17" t="str">
        <x:v>좋은데이, 화이트</x:v>
      </x:c>
      <x:c r="L7" s="17" t="str">
        <x:v>희석식</x:v>
      </x:c>
      <x:c r="M7" s="17" t="str">
        <x:v>2026.03.09 공식 좋은데이 리뉴얼 출시 자료와 2026 국세청 참가 명단 확인</x:v>
      </x:c>
      <x:c r="N7" s="17" t="str">
        <x:v>https://www.muhak.co.kr/news/%EB%AC%B4%ED%95%99-%EB%B6%80%EB%93%9C%EB%9F%AC%EC%9A%B4-%EC%86%8C%EC%A3%BC%EC%9D%98-%EC%9B%90%EC%A1%B0-all-new-%EC%A2%8B%EC%9D%80%EB%8D%B0%EC%9D%B4-%EC%83%88%EB%A1%AD%EA%B2%8C/</x:v>
      </x:c>
      <x:c r="O7" s="17" t="str">
        <x:v>https://t.nts.go.kr/dongdaegu/na/ntt/selectNttInfo.do?mi=2201&amp;nttSn=1351814</x:v>
      </x:c>
      <x:c r="P7" s="17" t="str">
        <x:v>https://i.nts.go.kr/llsc/na/ntt/selectNttList.do?bbsId=22830&amp;mi=1511</x:v>
      </x:c>
      <x:c r="Q7" s="17" t="str">
        <x:v>A | 2026 공식 확인</x:v>
      </x:c>
      <x:c r="R7" s="17" t="str">
        <x:v>공식 제품·회사 자료의 SINCE 1929 기준</x:v>
      </x:c>
      <x:c r="S7" s="17" t="str">
        <x:v>공식 또는 널리 쓰이는 영문 표기</x:v>
      </x:c>
      <x:c r="T7" s="17" t="str">
        <x:v>지역은 대표 제조 기반 기준</x:v>
      </x:c>
    </x:row>
    <x:row r="8" ht="78" customHeight="1">
      <x:c r="A8" s="17" t="str">
        <x:v>OTHER</x:v>
      </x:c>
      <x:c r="B8" s="17" t="str">
        <x:v>대선주조㈜</x:v>
      </x:c>
      <x:c r="C8" s="17" t="str">
        <x:v>Daesun Distilling Co., Ltd.</x:v>
      </x:c>
      <x:c r="D8" s="17" t="n">
        <x:v>1930</x:v>
      </x:c>
      <x:c r="E8" s="17" t="str">
        <x:v>https://www.c1.co.kr/</x:v>
      </x:c>
      <x:c r="F8" s="17" t="str">
        <x:v>대선주조, 대선159, 대선소주, C1, 시원소주, 대선주조㈜, Daesun Distilling Co., Ltd., 대선, 대선 샤인머스캣</x:v>
      </x:c>
      <x:c r="G8" s="17" t="str">
        <x:v>대한민국</x:v>
      </x:c>
      <x:c r="H8" s="17" t="str">
        <x:v>부산</x:v>
      </x:c>
      <x:c r="I8" s="17" t="str">
        <x:v>대선주조㈜(Daesun Distilling Co., Ltd.)은 부산에 기반을 둔 대한민국의 희석식 소주 제조사입니다. 1930년 설립 또는 계승 연혁을 기준으로 하며, 공개 자료에서 대선·C1·대선 샤인머스캣의 제조사로 확인됩니다. 2026.05.26 국세청 K-SUUL 참가 제품(대선) 확인</x:v>
      </x:c>
      <x:c r="J8" s="17" t="str">
        <x:v>대선주조㈜ (Daesun Distilling Co., Ltd.) is a diluted soju producer based in Busan, South Korea. Its public history is traced to 1930. Public sources identify it as the producer of 대선·C1·대선 샤인머스캣. The producer and its soju activity were cross-checked against public and independent producer, sales, or government sources during the 2026 review.</x:v>
      </x:c>
      <x:c r="K8" s="17" t="str">
        <x:v>대선, C1, 대선 샤인머스캣</x:v>
      </x:c>
      <x:c r="L8" s="17" t="str">
        <x:v>희석식</x:v>
      </x:c>
      <x:c r="M8" s="17" t="str">
        <x:v>2026.05.26 국세청 K-SUUL 참가 제품(대선) 확인</x:v>
      </x:c>
      <x:c r="N8" s="17" t="str">
        <x:v>https://t.nts.go.kr/dongdaegu/na/ntt/selectNttInfo.do?mi=2201&amp;nttSn=1351814</x:v>
      </x:c>
      <x:c r="O8" s="17" t="str">
        <x:v>https://www.c1.co.kr/sub01/sub03_01_04.php</x:v>
      </x:c>
      <x:c r="P8" s="17" t="str">
        <x:v>https://i.nts.go.kr/llsc/na/ntt/selectNttList.do?bbsId=22830&amp;mi=1511</x:v>
      </x:c>
      <x:c r="Q8" s="17" t="str">
        <x:v>A | 2026 공식 확인</x:v>
      </x:c>
      <x:c r="R8" s="17" t="str">
        <x:v>공식 연혁의 1930년 대선양조주식회사 설립 기준</x:v>
      </x:c>
      <x:c r="S8" s="17" t="str">
        <x:v>공식 또는 널리 쓰이는 영문 표기</x:v>
      </x:c>
      <x:c r="T8" s="17" t="str">
        <x:v>지역은 대표 제조 기반 기준</x:v>
      </x:c>
    </x:row>
    <x:row r="9" ht="78" customHeight="1">
      <x:c r="A9" s="17" t="str">
        <x:v>OTHER</x:v>
      </x:c>
      <x:c r="B9" s="17" t="str">
        <x:v>보해양조㈜</x:v>
      </x:c>
      <x:c r="C9" s="17" t="str">
        <x:v>Bohae Brewery Co., Ltd.</x:v>
      </x:c>
      <x:c r="D9" s="17" t="n">
        <x:v>1950</x:v>
      </x:c>
      <x:c r="E9" s="17" t="str">
        <x:v>https://www.bohae.co.kr/</x:v>
      </x:c>
      <x:c r="F9" s="17" t="str">
        <x:v>보해양조, 잎새주, 보해골드, 보해양조㈜, Bohae Brewery Co., Ltd.</x:v>
      </x:c>
      <x:c r="G9" s="17" t="str">
        <x:v>대한민국</x:v>
      </x:c>
      <x:c r="H9" s="17" t="str">
        <x:v>전라남도</x:v>
      </x:c>
      <x:c r="I9" s="17" t="str">
        <x:v>보해양조㈜(Bohae Brewery Co., Ltd.)은 전라남도에 기반을 둔 대한민국의 희석식 소주 제조사입니다. 1950년 설립 또는 계승 연혁을 기준으로 하며, 공개 자료에서 잎새주·보해골드의 제조사로 확인됩니다. 2025년 잎새주 제품 운영 자료와 국세청 국내주류 제품 목록 교차 확인</x:v>
      </x:c>
      <x:c r="J9" s="17" t="str">
        <x:v>보해양조㈜ (Bohae Brewery Co., Ltd.) is a diluted soju producer based in Jeollanam-do, South Korea. Its public history is traced to 1950. Public sources identify it as the producer of 잎새주·보해골드. The producer and its soju activity were cross-checked against public and independent producer, sales, or government sources during the 2026 review.</x:v>
      </x:c>
      <x:c r="K9" s="17" t="str">
        <x:v>잎새주, 보해골드</x:v>
      </x:c>
      <x:c r="L9" s="17" t="str">
        <x:v>희석식</x:v>
      </x:c>
      <x:c r="M9" s="17" t="str">
        <x:v>2025년 잎새주 제품 운영 자료와 국세청 국내주류 제품 목록 교차 확인</x:v>
      </x:c>
      <x:c r="N9" s="17" t="str">
        <x:v>https://www.yna.co.kr/view/AKR20251015142000054</x:v>
      </x:c>
      <x:c r="O9" s="17" t="str">
        <x:v>https://i.nts.go.kr/llsc/na/ntt/selectNttList.do?bbsId=22830&amp;mi=1511</x:v>
      </x:c>
      <x:c r="P9" s="17" t="str">
        <x:v>https://i.nts.go.kr/llsc/na/ntt/selectNttList.do?bbsId=22830&amp;mi=1511</x:v>
      </x:c>
      <x:c r="Q9" s="17" t="str">
        <x:v>A | 2026 활동 확인</x:v>
      </x:c>
      <x:c r="R9" s="17" t="str">
        <x:v>회사 창립연도 1950년 기준</x:v>
      </x:c>
      <x:c r="S9" s="17" t="str">
        <x:v>공식 또는 널리 쓰이는 영문 표기</x:v>
      </x:c>
      <x:c r="T9" s="17" t="str">
        <x:v>지역은 대표 제조 기반 기준</x:v>
      </x:c>
    </x:row>
    <x:row r="10" ht="78" customHeight="1">
      <x:c r="A10" s="17" t="str">
        <x:v>OTHER</x:v>
      </x:c>
      <x:c r="B10" s="17" t="str">
        <x:v>㈜금복주</x:v>
      </x:c>
      <x:c r="C10" s="17" t="str">
        <x:v>Kumbokju Co., Ltd.</x:v>
      </x:c>
      <x:c r="D10" s="17" t="n">
        <x:v>1957</x:v>
      </x:c>
      <x:c r="E10" s="17" t="str">
        <x:v>https://www.kumbokju.co.kr/</x:v>
      </x:c>
      <x:c r="F10" s="17" t="str">
        <x:v>금복주, 참소주, 맛있는참, 제로투, 제왕, ㈜금복주, Kumbokju Co., Ltd., 제왕 안동소주</x:v>
      </x:c>
      <x:c r="G10" s="17" t="str">
        <x:v>대한민국</x:v>
      </x:c>
      <x:c r="H10" s="17" t="str">
        <x:v>대구</x:v>
      </x:c>
      <x:c r="I10" s="17" t="str">
        <x:v>㈜금복주(Kumbokju Co., Ltd.)은 대구에 기반을 둔 대한민국의 희석식·증류식 소주 제조사입니다. 1957년 설립 또는 계승 연혁을 기준으로 하며, 공개 자료에서 참소주·제로투·제왕 안동소주의 제조사로 확인됩니다. 2026.08 참소주 리뉴얼 판매 보도와 공식 회사 사이트 확인</x:v>
      </x:c>
      <x:c r="J10" s="17" t="str">
        <x:v>㈜금복주 (Kumbokju Co., Ltd.) is a diluted and distilled soju producer based in Daegu, South Korea. Its public history is traced to 1957. Public sources identify it as the producer of 참소주·제로투·제왕 안동소주. The producer and its soju activity were cross-checked against public and independent producer, sales, or government sources during the 2026 review.</x:v>
      </x:c>
      <x:c r="K10" s="17" t="str">
        <x:v>참소주, 제로투, 제왕 안동소주</x:v>
      </x:c>
      <x:c r="L10" s="17" t="str">
        <x:v>희석식·증류식</x:v>
      </x:c>
      <x:c r="M10" s="17" t="str">
        <x:v>2026.08 참소주 리뉴얼 판매 보도와 공식 회사 사이트 확인</x:v>
      </x:c>
      <x:c r="N10" s="17" t="str">
        <x:v>https://v.daum.net/v/20260803194321507</x:v>
      </x:c>
      <x:c r="O10" s="17" t="str">
        <x:v>https://i.nts.go.kr/llsc/na/ntt/selectNttList.do?bbsId=22830&amp;mi=1511</x:v>
      </x:c>
      <x:c r="P10" s="17" t="str">
        <x:v>https://i.nts.go.kr/llsc/na/ntt/selectNttList.do?bbsId=22830&amp;mi=1511</x:v>
      </x:c>
      <x:c r="Q10" s="17" t="str">
        <x:v>A | 2026 활동 확인</x:v>
      </x:c>
      <x:c r="R10" s="17" t="str">
        <x:v>금복주 창립연도 1957년 기준</x:v>
      </x:c>
      <x:c r="S10" s="17" t="str">
        <x:v>공식 또는 널리 쓰이는 영문 표기</x:v>
      </x:c>
      <x:c r="T10" s="17" t="str">
        <x:v>지역은 대표 제조 기반 기준</x:v>
      </x:c>
    </x:row>
    <x:row r="11" ht="78" customHeight="1">
      <x:c r="A11" s="17" t="str">
        <x:v>OTHER</x:v>
      </x:c>
      <x:c r="B11" s="17" t="str">
        <x:v>㈜선양소주</x:v>
      </x:c>
      <x:c r="C11" s="17" t="str">
        <x:v>Sunyang Soju Co., Ltd.</x:v>
      </x:c>
      <x:c r="D11" s="17" t="n">
        <x:v>1973</x:v>
      </x:c>
      <x:c r="E11" s="17" t="str">
        <x:v>https://www.mackisscompany.co.kr/</x:v>
      </x:c>
      <x:c r="F11" s="17" t="str">
        <x:v>맥키스컴퍼니, 선양소주, 선양, 선양린, O2린, 사락, ㈜선양소주, Sunyang Soju Co., Ltd., 사락 GOLD</x:v>
      </x:c>
      <x:c r="G11" s="17" t="str">
        <x:v>대한민국</x:v>
      </x:c>
      <x:c r="H11" s="17" t="str">
        <x:v>대전</x:v>
      </x:c>
      <x:c r="I11" s="17" t="str">
        <x:v>㈜선양소주(Sunyang Soju Co., Ltd.)은 대전에 기반을 둔 대한민국의 희석식·증류식 소주 제조사입니다. 1973년 설립 또는 계승 연혁을 기준으로 하며, 공개 자료에서 선양·선양린·사락 GOLD의 제조사로 확인됩니다. 2026.05.26 국세청 K-SUUL 참가 제품(사락 GOLD) 확인</x:v>
      </x:c>
      <x:c r="J11" s="17" t="str">
        <x:v>㈜선양소주 (Sunyang Soju Co., Ltd.) is a diluted and distilled soju producer based in Daejeon, South Korea. Its public history is traced to 1973. Public sources identify it as the producer of 선양·선양린·사락 GOLD. The producer and its soju activity were cross-checked against public and independent producer, sales, or government sources during the 2026 review.</x:v>
      </x:c>
      <x:c r="K11" s="17" t="str">
        <x:v>선양, 선양린, 사락 GOLD</x:v>
      </x:c>
      <x:c r="L11" s="17" t="str">
        <x:v>희석식·증류식</x:v>
      </x:c>
      <x:c r="M11" s="17" t="str">
        <x:v>2026.05.26 국세청 K-SUUL 참가 제품(사락 GOLD) 확인</x:v>
      </x:c>
      <x:c r="N11" s="17" t="str">
        <x:v>https://t.nts.go.kr/dongdaegu/na/ntt/selectNttInfo.do?mi=2201&amp;nttSn=1351814</x:v>
      </x:c>
      <x:c r="O11" s="17" t="str">
        <x:v>https://i.nts.go.kr/llsc/na/ntt/selectNttList.do?bbsId=22830&amp;mi=1511</x:v>
      </x:c>
      <x:c r="P11" s="17" t="str">
        <x:v>https://i.nts.go.kr/llsc/na/ntt/selectNttList.do?bbsId=22830&amp;mi=1511</x:v>
      </x:c>
      <x:c r="Q11" s="17" t="str">
        <x:v>A | 2026 공식 확인</x:v>
      </x:c>
      <x:c r="R11" s="17" t="str">
        <x:v>1973년 선양주조 설립을 계승 연혁의 기점으로 사용</x:v>
      </x:c>
      <x:c r="S11" s="17" t="str">
        <x:v>공식 또는 널리 쓰이는 영문 표기</x:v>
      </x:c>
      <x:c r="T11" s="17" t="str">
        <x:v>지역은 대표 제조 기반 기준</x:v>
      </x:c>
    </x:row>
    <x:row r="12" ht="78" customHeight="1">
      <x:c r="A12" s="17" t="str">
        <x:v>OTHER</x:v>
      </x:c>
      <x:c r="B12" s="17" t="str">
        <x:v>㈜충북소주</x:v>
      </x:c>
      <x:c r="C12" s="17" t="str">
        <x:v>Chungbuk Soju Co., Ltd.</x:v>
      </x:c>
      <x:c r="D12" s="17" t="n">
        <x:v>1957</x:v>
      </x:c>
      <x:c r="E12" s="17" t="str">
        <x:v>http://www.cbsoju.com/</x:v>
      </x:c>
      <x:c r="F12" s="17" t="str">
        <x:v>충북소주, 시원한청풍, 시원한 청풍, 맑은바람, ㈜충북소주, Chungbuk Soju Co., Ltd.</x:v>
      </x:c>
      <x:c r="G12" s="17" t="str">
        <x:v>대한민국</x:v>
      </x:c>
      <x:c r="H12" s="17" t="str">
        <x:v>충청북도</x:v>
      </x:c>
      <x:c r="I12" s="17" t="str">
        <x:v>㈜충북소주(Chungbuk Soju Co., Ltd.)은 충청북도에 기반을 둔 대한민국의 희석식 소주 제조사입니다. 1957년 설립 또는 계승 연혁을 기준으로 하며, 공개 자료에서 시원한 청풍·맑은바람의 제조사로 확인됩니다. 2026년 기업 활동 자료와 국세청 제품 목록 확인. 공식 사이트는 조사 시점 접속 불가</x:v>
      </x:c>
      <x:c r="J12" s="17" t="str">
        <x:v>㈜충북소주 (Chungbuk Soju Co., Ltd.) is a diluted soju producer based in Chungcheongbuk-do, South Korea. Its public history is traced to 1957. Public sources identify it as the producer of 시원한 청풍·맑은바람. The producer and its soju activity were cross-checked against public and independent producer, sales, or government sources during the 2026 review.</x:v>
      </x:c>
      <x:c r="K12" s="17" t="str">
        <x:v>시원한 청풍, 맑은바람</x:v>
      </x:c>
      <x:c r="L12" s="17" t="str">
        <x:v>희석식</x:v>
      </x:c>
      <x:c r="M12" s="17" t="str">
        <x:v>2026년 기업 활동 자료와 국세청 제품 목록 확인. 공식 사이트는 조사 시점 접속 불가</x:v>
      </x:c>
      <x:c r="N12" s="17" t="str">
        <x:v>https://www.saramin.co.kr/zf_user/company-info/view?csn=bHFpZExRYnJGNTJxRGVCa2pOQzNqQT09</x:v>
      </x:c>
      <x:c r="O12" s="17" t="str">
        <x:v>https://i.nts.go.kr/llsc/na/ntt/selectNttList.do?bbsId=22830&amp;mi=1511</x:v>
      </x:c>
      <x:c r="P12" s="17" t="str">
        <x:v>https://i.nts.go.kr/llsc/na/ntt/selectNttList.do?bbsId=22830&amp;mi=1511</x:v>
      </x:c>
      <x:c r="Q12" s="17" t="str">
        <x:v>A | 2026 활동 확인</x:v>
      </x:c>
      <x:c r="R12" s="17" t="str">
        <x:v>1957년 창업 계승 연혁. 현 법인 설립일(2004년)과 구분 필요</x:v>
      </x:c>
      <x:c r="S12" s="17" t="str">
        <x:v>공식 또는 널리 쓰이는 영문 표기</x:v>
      </x:c>
      <x:c r="T12" s="17" t="str">
        <x:v>공식 홈페이지가 조사 시점에 접속되지 않음. 홈페이지 URL은 기존 공개 주소를 기입</x:v>
      </x:c>
    </x:row>
    <x:row r="13" ht="78" customHeight="1">
      <x:c r="A13" s="17" t="str">
        <x:v>OTHER</x:v>
      </x:c>
      <x:c r="B13" s="17" t="str">
        <x:v>㈜한라산</x:v>
      </x:c>
      <x:c r="C13" s="17" t="str">
        <x:v>Hallasan Co., Ltd.</x:v>
      </x:c>
      <x:c r="D13" s="17" t="n">
        <x:v>1950</x:v>
      </x:c>
      <x:c r="E13" s="17" t="str">
        <x:v>https://www.hallasan.co.kr/</x:v>
      </x:c>
      <x:c r="F13" s="17" t="str">
        <x:v>한라산소주, 한라산21, 한라산17, 한라산순한, ㈜한라산, Hallasan Co., Ltd., 한라산, 한라산 순한</x:v>
      </x:c>
      <x:c r="G13" s="17" t="str">
        <x:v>대한민국</x:v>
      </x:c>
      <x:c r="H13" s="17" t="str">
        <x:v>제주도</x:v>
      </x:c>
      <x:c r="I13" s="17" t="str">
        <x:v>㈜한라산(Hallasan Co., Ltd.)은 제주도에 기반을 둔 대한민국의 희석식 소주 제조사입니다. 1950년 설립 또는 계승 연혁을 기준으로 하며, 공개 자료에서 한라산·한라산 순한의 제조사로 확인됩니다. 2026.05.26 국세청 K-SUUL 참가 제품(한라산) 확인</x:v>
      </x:c>
      <x:c r="J13" s="17" t="str">
        <x:v>㈜한라산 (Hallasan Co., Ltd.) is a diluted soju producer based in Jeju-do, South Korea. Its public history is traced to 1950. Public sources identify it as the producer of 한라산·한라산 순한. The producer and its soju activity were cross-checked against public and independent producer, sales, or government sources during the 2026 review.</x:v>
      </x:c>
      <x:c r="K13" s="17" t="str">
        <x:v>한라산, 한라산 순한</x:v>
      </x:c>
      <x:c r="L13" s="17" t="str">
        <x:v>희석식</x:v>
      </x:c>
      <x:c r="M13" s="17" t="str">
        <x:v>2026.05.26 국세청 K-SUUL 참가 제품(한라산) 확인</x:v>
      </x:c>
      <x:c r="N13" s="17" t="str">
        <x:v>https://t.nts.go.kr/dongdaegu/na/ntt/selectNttInfo.do?mi=2201&amp;nttSn=1351814</x:v>
      </x:c>
      <x:c r="O13" s="17" t="str">
        <x:v>https://encykorea.aks.ac.kr/Article/E0079972</x:v>
      </x:c>
      <x:c r="P13" s="17" t="str">
        <x:v>https://i.nts.go.kr/llsc/na/ntt/selectNttList.do?bbsId=22830&amp;mi=1511</x:v>
      </x:c>
      <x:c r="Q13" s="17" t="str">
        <x:v>A | 2026 공식 확인</x:v>
      </x:c>
      <x:c r="R13" s="17" t="str">
        <x:v>1950년 호남양조장 창립을 계승 연혁의 기점으로 사용</x:v>
      </x:c>
      <x:c r="S13" s="17" t="str">
        <x:v>공식 또는 널리 쓰이는 영문 표기</x:v>
      </x:c>
      <x:c r="T13" s="17" t="str">
        <x:v>지역은 대표 제조 기반 기준</x:v>
      </x:c>
    </x:row>
    <x:row r="14" ht="78" customHeight="1">
      <x:c r="A14" s="17" t="str">
        <x:v>OTHER</x:v>
      </x:c>
      <x:c r="B14" s="17" t="str">
        <x:v>㈜배혜정농업회사법인</x:v>
      </x:c>
      <x:c r="C14" s="17" t="str">
        <x:v>Bae Hye Jeong Agricultural Corporation</x:v>
      </x:c>
      <x:c r="D14" s="17"/>
      <x:c r="E14" s="17" t="str">
        <x:v>http://www.baedoga.co.kr/</x:v>
      </x:c>
      <x:c r="F14" s="17" t="str">
        <x:v>배혜정도가, (주)배혜정농업회사법인, ㈜배혜정농업회사법인, Bae Hye Jeong Agricultural Corporation, 로아 포르토, 우곡소주, 로아19화이트, 로아19옐로우, 로아19레드, 로아40화이트, 로아40퍼플</x:v>
      </x:c>
      <x:c r="G14" s="17" t="str">
        <x:v>대한민국</x:v>
      </x:c>
      <x:c r="H14" s="17" t="str">
        <x:v>경기도</x:v>
      </x:c>
      <x:c r="I14" s="17" t="str">
        <x:v>㈜배혜정농업회사법인(Bae Hye Jeong Agricultural Corporation)은 경기도에 기반을 둔 대한민국의 증류식 소주 제조사입니다. 공개 자료에서 로아 포르토·우곡소주·로아19화이트·로아19옐로우·로아19레드·로아40화이트·로아40퍼플의 제조사로 확인됩니다. 공개 제품 설명에는 쌀 등을 원료로 사용하는 내용이 확인됩니다. 2026년 조사 시점에 공공 카탈로그와 별도 제조사·판매 경로를 대조해 제품 활동을 확인했습니다.</x:v>
      </x:c>
      <x:c r="J14" s="17" t="str">
        <x:v>㈜배혜정농업회사법인 (Bae Hye Jeong Agricultural Corporation) is a distilled soju producer based in Gyeonggi-do, South Korea. Public sources identify it as the producer of 로아 포르토·우곡소주·로아19화이트·로아19옐로우·로아19레드·로아40화이트·로아40퍼플. Published product information refers to ingredients including 쌀. The producer and its soju activity were cross-checked against public and independent producer, sales, or government sources during the 2026 review.</x:v>
      </x:c>
      <x:c r="K14" s="17" t="str">
        <x:v>로아 포르토, 우곡소주, 로아19화이트, 로아19옐로우, 로아19레드, 로아40화이트, 로아40퍼플</x:v>
      </x:c>
      <x:c r="L14" s="17" t="str">
        <x:v>증류식</x:v>
      </x:c>
      <x:c r="M14" s="17" t="str">
        <x:v>2026 조사 시점 공공 카탈로그 등재와 제조사·판매 페이지를 대조</x:v>
      </x:c>
      <x:c r="N14" s="17" t="str">
        <x:v>https://thesool.com/front/find/M000000082/view.do?productId=PR00001221</x:v>
      </x:c>
      <x:c r="O14" s="17" t="str">
        <x:v>http://www.baedoga.co.kr/</x:v>
      </x:c>
      <x:c r="P14" s="17" t="str"/>
      <x:c r="Q14" s="17" t="str">
        <x:v>B | 2개 출처 일치</x:v>
      </x:c>
      <x:c r="R14" s="17" t="str">
        <x:v>공식 설립연도 미확인</x:v>
      </x:c>
      <x:c r="S14" s="17" t="str">
        <x:v>공식 또는 널리 쓰이는 영문 표기</x:v>
      </x:c>
      <x:c r="T14" s="17" t="str">
        <x:v>등록 가능. 설립연도·공식 영문명은 공개 근거가 없으면 빈칸/권장 표기로 유지</x:v>
      </x:c>
    </x:row>
    <x:row r="15" ht="78" customHeight="1">
      <x:c r="A15" s="17" t="str">
        <x:v>OTHER</x:v>
      </x:c>
      <x:c r="B15" s="17" t="str">
        <x:v>㈜백제명가주조</x:v>
      </x:c>
      <x:c r="C15" s="17" t="str">
        <x:v>Baekjemyeonggajujo Brewery</x:v>
      </x:c>
      <x:c r="D15" s="17"/>
      <x:c r="E15" s="17" t="str">
        <x:v>https://smartstore.naver.com/baekje2012</x:v>
      </x:c>
      <x:c r="F15" s="17" t="str">
        <x:v>㈜백제명가주조, Baekjemyeonggajujo Brewery, 백제한산군주</x:v>
      </x:c>
      <x:c r="G15" s="17" t="str">
        <x:v>대한민국</x:v>
      </x:c>
      <x:c r="H15" s="17" t="str">
        <x:v>충청남도</x:v>
      </x:c>
      <x:c r="I15" s="17" t="str">
        <x:v>㈜백제명가주조(Baekjemyeonggajujo Brewery)은 충청남도에 기반을 둔 대한민국의 증류식 소주 제조사입니다. 공개 자료에서 백제한산군주의 제조사로 확인됩니다. 공개 제품 설명에는 쌀 등을 원료로 사용하는 내용이 확인됩니다. 2026년 조사 시점에 공공 카탈로그와 별도 제조사·판매 경로를 대조해 제품 활동을 확인했습니다.</x:v>
      </x:c>
      <x:c r="J15" s="17" t="str">
        <x:v>㈜백제명가주조 (Baekjemyeonggajujo Brewery) is a distilled soju producer based in Chungcheongnam-do, South Korea. Public sources identify it as the producer of 백제한산군주. Published product information refers to ingredients including 쌀. The producer and its soju activity were cross-checked against public and independent producer, sales, or government sources during the 2026 review.</x:v>
      </x:c>
      <x:c r="K15" s="17" t="str">
        <x:v>백제한산군주</x:v>
      </x:c>
      <x:c r="L15" s="17" t="str">
        <x:v>증류식</x:v>
      </x:c>
      <x:c r="M15" s="17" t="str">
        <x:v>2026 조사 시점 공공 카탈로그 등재와 제조사·판매 페이지를 대조</x:v>
      </x:c>
      <x:c r="N15" s="17" t="str">
        <x:v>https://thesool.com/front/find/M000000082/view.do?productId=PR00000512</x:v>
      </x:c>
      <x:c r="O15" s="17" t="str">
        <x:v>https://smartstore.naver.com/baekje2012</x:v>
      </x:c>
      <x:c r="P15" s="17" t="str"/>
      <x:c r="Q15" s="17" t="str">
        <x:v>B | 2개 출처 일치</x:v>
      </x:c>
      <x:c r="R15" s="17" t="str">
        <x:v>공식 설립연도 미확인</x:v>
      </x:c>
      <x:c r="S15" s="17" t="str">
        <x:v>권장 로마자 표기 — 등록 전 공식 표기 확인</x:v>
      </x:c>
      <x:c r="T15" s="17" t="str">
        <x:v>등록 가능. 설립연도·공식 영문명은 공개 근거가 없으면 빈칸/권장 표기로 유지</x:v>
      </x:c>
    </x:row>
    <x:row r="16" ht="78" customHeight="1">
      <x:c r="A16" s="17" t="str">
        <x:v>OTHER</x:v>
      </x:c>
      <x:c r="B16" s="17" t="str">
        <x:v>㈜우보주책</x:v>
      </x:c>
      <x:c r="C16" s="17" t="str">
        <x:v>Ubojuchaek Brewery</x:v>
      </x:c>
      <x:c r="D16" s="17"/>
      <x:c r="E16" s="17" t="str">
        <x:v>https://woobojoocheck.com/</x:v>
      </x:c>
      <x:c r="F16" s="17" t="str">
        <x:v>㈜우보주책, Ubojuchaek Brewery, 양평 밀 소주</x:v>
      </x:c>
      <x:c r="G16" s="17" t="str">
        <x:v>대한민국</x:v>
      </x:c>
      <x:c r="H16" s="17" t="str">
        <x:v>경기도</x:v>
      </x:c>
      <x:c r="I16" s="17" t="str">
        <x:v>㈜우보주책(Ubojuchaek Brewery)은 경기도에 기반을 둔 대한민국의 증류식 소주 제조사입니다. 공개 자료에서 양평 밀 소주의 제조사로 확인됩니다. 공개 제품 설명에는 밀 등을 원료로 사용하는 내용이 확인됩니다. 2026년 조사 시점에 공공 카탈로그와 별도 제조사·판매 경로를 대조해 제품 활동을 확인했습니다.</x:v>
      </x:c>
      <x:c r="J16" s="17" t="str">
        <x:v>㈜우보주책 (Ubojuchaek Brewery) is a distilled soju producer based in Gyeonggi-do, South Korea. Public sources identify it as the producer of 양평 밀 소주. Published product information refers to ingredients including 밀. The producer and its soju activity were cross-checked against public and independent producer, sales, or government sources during the 2026 review.</x:v>
      </x:c>
      <x:c r="K16" s="17" t="str">
        <x:v>양평 밀 소주</x:v>
      </x:c>
      <x:c r="L16" s="17" t="str">
        <x:v>증류식</x:v>
      </x:c>
      <x:c r="M16" s="17" t="str">
        <x:v>2026 조사 시점 공공 카탈로그 등재와 제조사·판매 페이지를 대조</x:v>
      </x:c>
      <x:c r="N16" s="17" t="str">
        <x:v>https://thesool.com/front/find/M000000082/view.do?productId=PR00001320</x:v>
      </x:c>
      <x:c r="O16" s="17" t="str">
        <x:v>https://woobojoocheck.com/</x:v>
      </x:c>
      <x:c r="P16" s="17" t="str"/>
      <x:c r="Q16" s="17" t="str">
        <x:v>B | 2개 출처 일치</x:v>
      </x:c>
      <x:c r="R16" s="17" t="str">
        <x:v>공식 설립연도 미확인</x:v>
      </x:c>
      <x:c r="S16" s="17" t="str">
        <x:v>권장 로마자 표기 — 등록 전 공식 표기 확인</x:v>
      </x:c>
      <x:c r="T16" s="17" t="str">
        <x:v>등록 가능. 설립연도·공식 영문명은 공개 근거가 없으면 빈칸/권장 표기로 유지</x:v>
      </x:c>
    </x:row>
    <x:row r="17" ht="78" customHeight="1">
      <x:c r="A17" s="17" t="str">
        <x:v>OTHER</x:v>
      </x:c>
      <x:c r="B17" s="17" t="str">
        <x:v>㈜좋은술</x:v>
      </x:c>
      <x:c r="C17" s="17" t="str">
        <x:v>Joeunsul Co., Ltd.</x:v>
      </x:c>
      <x:c r="D17" s="17"/>
      <x:c r="E17" s="17" t="str">
        <x:v>http://jsul.modoo.at/</x:v>
      </x:c>
      <x:c r="F17" s="17" t="str">
        <x:v>좋은술, 천비향 화주, 천비향, ㈜좋은술, Joeunsul Co., Ltd.</x:v>
      </x:c>
      <x:c r="G17" s="17" t="str">
        <x:v>대한민국</x:v>
      </x:c>
      <x:c r="H17" s="17" t="str">
        <x:v>경기도</x:v>
      </x:c>
      <x:c r="I17" s="17" t="str">
        <x:v>㈜좋은술(Joeunsul Co., Ltd.)은 경기도에 기반을 둔 대한민국의 증류식 소주 제조사입니다. 공개 자료에서 천비향 화주의 제조사로 확인됩니다. 2026년 조사 시점에 공공 카탈로그와 별도 제조사·판매 경로를 대조해 제품 활동을 확인했습니다.</x:v>
      </x:c>
      <x:c r="J17" s="17" t="str">
        <x:v>㈜좋은술 (Joeunsul Co., Ltd.) is a distilled soju producer based in Gyeonggi-do, South Korea. Public sources identify it as the producer of 천비향 화주. The producer and its soju activity were cross-checked against public and independent producer, sales, or government sources during the 2026 review.</x:v>
      </x:c>
      <x:c r="K17" s="17" t="str">
        <x:v>천비향 화주</x:v>
      </x:c>
      <x:c r="L17" s="17" t="str">
        <x:v>증류식</x:v>
      </x:c>
      <x:c r="M17" s="17" t="str">
        <x:v>더술닷컴 찾아가는 양조장 자료와 제조사 페이지를 교차 확인</x:v>
      </x:c>
      <x:c r="N17" s="17" t="str">
        <x:v>https://thesool.com/file/2022_GUIDEBOOK.pdf</x:v>
      </x:c>
      <x:c r="O17" s="17" t="str">
        <x:v>http://jsul.modoo.at/</x:v>
      </x:c>
      <x:c r="P17" s="17" t="str">
        <x:v>https://thesool.com/front/find/M000000086/list.do?kind=CD00000144</x:v>
      </x:c>
      <x:c r="Q17" s="17" t="str">
        <x:v>B | 2개 출처 일치</x:v>
      </x:c>
      <x:c r="R17" s="17" t="str">
        <x:v>공식 설립연도 미확인</x:v>
      </x:c>
      <x:c r="S17" s="17" t="str">
        <x:v>공식 또는 널리 쓰이는 영문 표기</x:v>
      </x:c>
      <x:c r="T17" s="17" t="str">
        <x:v>더술닷컴 찾아가는 양조장 자료와 제조사 페이지를 교차 확인</x:v>
      </x:c>
    </x:row>
    <x:row r="18" ht="78" customHeight="1">
      <x:c r="A18" s="17" t="str">
        <x:v>OTHER</x:v>
      </x:c>
      <x:c r="B18" s="17" t="str">
        <x:v>㈜화요</x:v>
      </x:c>
      <x:c r="C18" s="17" t="str">
        <x:v>Hwayo Co., Ltd.</x:v>
      </x:c>
      <x:c r="D18" s="17"/>
      <x:c r="E18" s="17" t="str">
        <x:v>https://www.hwayo.com/</x:v>
      </x:c>
      <x:c r="F18" s="17" t="str">
        <x:v>㈜화요, (주)화요, Hwayo Co., Ltd., 화요 41%, 25%, 17%, 화요53, 화요41, 화요25, 화요 X.Premium, 화요17</x:v>
      </x:c>
      <x:c r="G18" s="17" t="str">
        <x:v>대한민국</x:v>
      </x:c>
      <x:c r="H18" s="17" t="str">
        <x:v>경기도</x:v>
      </x:c>
      <x:c r="I18" s="17" t="str">
        <x:v>㈜화요(Hwayo Co., Ltd.)은 경기도에 기반을 둔 대한민국의 증류식 소주 제조사입니다. 공개 자료에서 화요 41%, 25%, 17%·화요53·화요41·화요25·화요 X.Premium·화요17의 제조사로 확인됩니다. 공개 제품 설명에는 쌀 등을 원료로 사용하는 내용이 확인됩니다. 2026년 조사 시점에 공공 카탈로그와 별도 제조사·판매 경로를 대조해 제품 활동을 확인했습니다.</x:v>
      </x:c>
      <x:c r="J18" s="17" t="str">
        <x:v>㈜화요 (Hwayo Co., Ltd.) is a distilled soju producer based in Gyeonggi-do, South Korea. Public sources identify it as the producer of 화요 41%, 25%, 17%·화요53·화요41·화요25·화요 X.Premium·화요17. Published product information refers to ingredients including 쌀. The producer and its soju activity were cross-checked against public and independent producer, sales, or government sources during the 2026 review.</x:v>
      </x:c>
      <x:c r="K18" s="17" t="str">
        <x:v>화요 41%, 25%, 17%, 화요53, 화요41, 화요25, 화요 X.Premium, 화요17</x:v>
      </x:c>
      <x:c r="L18" s="17" t="str">
        <x:v>증류식</x:v>
      </x:c>
      <x:c r="M18" s="17" t="str">
        <x:v>2026 조사 시점 공공 카탈로그 등재와 제조사·판매 페이지를 대조</x:v>
      </x:c>
      <x:c r="N18" s="17" t="str">
        <x:v>https://thesool.com/front/find/M000000082/view.do?productId=PR00000592</x:v>
      </x:c>
      <x:c r="O18" s="17" t="str">
        <x:v>https://www.hwayo.com/</x:v>
      </x:c>
      <x:c r="P18" s="17" t="str">
        <x:v>https://i.nts.go.kr/llsc/na/ntt/selectNttList.do?bbsId=22830&amp;mi=1511</x:v>
      </x:c>
      <x:c r="Q18" s="17" t="str">
        <x:v>B | 2개 출처 일치</x:v>
      </x:c>
      <x:c r="R18" s="17" t="str">
        <x:v>공식 설립연도 미확인</x:v>
      </x:c>
      <x:c r="S18" s="17" t="str">
        <x:v>공식 또는 널리 쓰이는 영문 표기</x:v>
      </x:c>
      <x:c r="T18" s="17" t="str">
        <x:v>등록 가능. 설립연도·공식 영문명은 공개 근거가 없으면 빈칸/권장 표기로 유지</x:v>
      </x:c>
    </x:row>
    <x:row r="19" ht="78" customHeight="1">
      <x:c r="A19" s="17" t="str">
        <x:v>OTHER</x:v>
      </x:c>
      <x:c r="B19" s="17" t="str">
        <x:v>국가유산·명인 조옥화 안동소주</x:v>
      </x:c>
      <x:c r="C19" s="17" t="str">
        <x:v>Cho Ok-hwa Andong Soju</x:v>
      </x:c>
      <x:c r="D19" s="17"/>
      <x:c r="E19" s="17" t="str">
        <x:v>https://www.andongsoju.com/</x:v>
      </x:c>
      <x:c r="F19" s="17" t="str">
        <x:v>국가유산·명인 조옥화 안동소주, Cho Ok-hwa Andong Soju, 국가유산·명인 조옥화 안동소주 45도</x:v>
      </x:c>
      <x:c r="G19" s="17" t="str">
        <x:v>대한민국</x:v>
      </x:c>
      <x:c r="H19" s="17" t="str">
        <x:v>경상북도</x:v>
      </x:c>
      <x:c r="I19" s="17" t="str">
        <x:v>국가유산·명인 조옥화 안동소주(Cho Ok-hwa Andong Soju)은 경상북도에 기반을 둔 대한민국의 증류식 소주 제조사입니다. 공개 자료에서 국가유산·명인 조옥화 안동소주 45도의 제조사로 확인됩니다. 공개 제품 설명에는 쌀·누룩·국 등을 원료로 사용하는 내용이 확인됩니다. 2026년 조사 시점에 공공 카탈로그와 별도 제조사·판매 경로를 대조해 제품 활동을 확인했습니다.</x:v>
      </x:c>
      <x:c r="J19" s="17" t="str">
        <x:v>국가유산·명인 조옥화 안동소주 (Cho Ok-hwa Andong Soju) is a distilled soju producer based in Gyeongsangbuk-do, South Korea. Public sources identify it as the producer of 국가유산·명인 조옥화 안동소주 45도. Published product information refers to ingredients including 쌀·누룩·국. The producer and its soju activity were cross-checked against public and independent producer, sales, or government sources during the 2026 review.</x:v>
      </x:c>
      <x:c r="K19" s="17" t="str">
        <x:v>국가유산·명인 조옥화 안동소주 45도</x:v>
      </x:c>
      <x:c r="L19" s="17" t="str">
        <x:v>증류식</x:v>
      </x:c>
      <x:c r="M19" s="17" t="str">
        <x:v>2026 조사 시점 공공 카탈로그 등재와 제조사·판매 페이지를 대조</x:v>
      </x:c>
      <x:c r="N19" s="17" t="str">
        <x:v>https://thesool.com/front/find/M000000082/view.do?productId=PR00001370</x:v>
      </x:c>
      <x:c r="O19" s="17" t="str">
        <x:v>https://www.andongsoju.com/</x:v>
      </x:c>
      <x:c r="P19" s="17" t="str"/>
      <x:c r="Q19" s="17" t="str">
        <x:v>B | 2개 출처 일치</x:v>
      </x:c>
      <x:c r="R19" s="17" t="str">
        <x:v>공식 설립연도 미확인</x:v>
      </x:c>
      <x:c r="S19" s="17" t="str">
        <x:v>공식 또는 널리 쓰이는 영문 표기</x:v>
      </x:c>
      <x:c r="T19" s="17" t="str">
        <x:v>등록 가능. 설립연도·공식 영문명은 공개 근거가 없으면 빈칸/권장 표기로 유지</x:v>
      </x:c>
    </x:row>
    <x:row r="20" ht="78" customHeight="1">
      <x:c r="A20" s="17" t="str">
        <x:v>OTHER</x:v>
      </x:c>
      <x:c r="B20" s="17" t="str">
        <x:v>국순당 횡성양조장</x:v>
      </x:c>
      <x:c r="C20" s="17" t="str">
        <x:v>Kooksoondang Hoengseong Brewery</x:v>
      </x:c>
      <x:c r="D20" s="17"/>
      <x:c r="E20" s="17" t="str">
        <x:v>http://drink.ksdb.co.kr/</x:v>
      </x:c>
      <x:c r="F20" s="17" t="str">
        <x:v>국순당 횡성양조장, Kooksoondang Hoengseong Brewery, 려, 려 2013 본</x:v>
      </x:c>
      <x:c r="G20" s="17" t="str">
        <x:v>대한민국</x:v>
      </x:c>
      <x:c r="H20" s="17" t="str">
        <x:v>강원도</x:v>
      </x:c>
      <x:c r="I20" s="17" t="str">
        <x:v>국순당 횡성양조장(Kooksoondang Hoengseong Brewery)은 강원도에 기반을 둔 대한민국의 증류식 소주 제조사입니다. 공개 자료에서 려·려 2013 본의 제조사로 확인됩니다. 공개 제품 설명에는 쌀·고구마 등을 원료로 사용하는 내용이 확인됩니다. 2026년 조사 시점에 공공 카탈로그와 별도 제조사·판매 경로를 대조해 제품 활동을 확인했습니다.</x:v>
      </x:c>
      <x:c r="J20" s="17" t="str">
        <x:v>국순당 횡성양조장 (Kooksoondang Hoengseong Brewery) is a distilled soju producer based in Gangwon-do, South Korea. Public sources identify it as the producer of 려·려 2013 본. Published product information refers to ingredients including 쌀·고구마. The producer and its soju activity were cross-checked against public and independent producer, sales, or government sources during the 2026 review.</x:v>
      </x:c>
      <x:c r="K20" s="17" t="str">
        <x:v>려, 려 2013 본</x:v>
      </x:c>
      <x:c r="L20" s="17" t="str">
        <x:v>증류식</x:v>
      </x:c>
      <x:c r="M20" s="17" t="str">
        <x:v>2026 조사 시점 공공 카탈로그 등재와 제조사·판매 페이지를 대조</x:v>
      </x:c>
      <x:c r="N20" s="17" t="str">
        <x:v>https://thesool.com/front/find/M000000082/view.do?productId=PR00000539</x:v>
      </x:c>
      <x:c r="O20" s="17" t="str">
        <x:v>http://drink.ksdb.co.kr/</x:v>
      </x:c>
      <x:c r="P20" s="17" t="str"/>
      <x:c r="Q20" s="17" t="str">
        <x:v>B | 2개 출처 일치</x:v>
      </x:c>
      <x:c r="R20" s="17" t="str">
        <x:v>공식 설립연도 미확인</x:v>
      </x:c>
      <x:c r="S20" s="17" t="str">
        <x:v>공식 또는 널리 쓰이는 영문 표기</x:v>
      </x:c>
      <x:c r="T20" s="17" t="str">
        <x:v>등록 가능. 설립연도·공식 영문명은 공개 근거가 없으면 빈칸/권장 표기로 유지</x:v>
      </x:c>
    </x:row>
    <x:row r="21" ht="78" customHeight="1">
      <x:c r="A21" s="17" t="str">
        <x:v>OTHER</x:v>
      </x:c>
      <x:c r="B21" s="17" t="str">
        <x:v>국순당여주명주㈜</x:v>
      </x:c>
      <x:c r="C21" s="17" t="str">
        <x:v>Kooksoondang Yeoju Myungju Co., Ltd.</x:v>
      </x:c>
      <x:c r="D21" s="17"/>
      <x:c r="E21" s="17" t="str">
        <x:v>http://www.ksdyeoju.com/</x:v>
      </x:c>
      <x:c r="F21" s="17" t="str">
        <x:v>국순당여주명주, 국순당여주명주(주), 국순당여주명주㈜, Kooksoondang Yeoju Myungju Co., Ltd., 려 고구마 소주, 려40</x:v>
      </x:c>
      <x:c r="G21" s="17" t="str">
        <x:v>대한민국</x:v>
      </x:c>
      <x:c r="H21" s="17" t="str">
        <x:v>경기도</x:v>
      </x:c>
      <x:c r="I21" s="17" t="str">
        <x:v>국순당여주명주㈜(Kooksoondang Yeoju Myungju Co., Ltd.)은 경기도에 기반을 둔 대한민국의 증류식 소주 제조사입니다. 공개 자료에서 려 고구마 소주·려40의 제조사로 확인됩니다. 공개 제품 설명에는 쌀·고구마 등을 원료로 사용하는 내용이 확인됩니다. 2026년 조사 시점에 공공 카탈로그와 별도 제조사·판매 경로를 대조해 제품 활동을 확인했습니다.</x:v>
      </x:c>
      <x:c r="J21" s="17" t="str">
        <x:v>국순당여주명주㈜ (Kooksoondang Yeoju Myungju Co., Ltd.) is a distilled soju producer based in Gyeonggi-do, South Korea. Public sources identify it as the producer of 려 고구마 소주·려40. Published product information refers to ingredients including 쌀·고구마. The producer and its soju activity were cross-checked against public and independent producer, sales, or government sources during the 2026 review.</x:v>
      </x:c>
      <x:c r="K21" s="17" t="str">
        <x:v>려 고구마 소주, 려40</x:v>
      </x:c>
      <x:c r="L21" s="17" t="str">
        <x:v>증류식</x:v>
      </x:c>
      <x:c r="M21" s="17" t="str">
        <x:v>2026 조사 시점 공공 카탈로그 등재와 제조사·판매 페이지를 대조</x:v>
      </x:c>
      <x:c r="N21" s="17" t="str">
        <x:v>https://thesool.com/front/find/M000000082/view.do?productId=PR00001033</x:v>
      </x:c>
      <x:c r="O21" s="17" t="str">
        <x:v>http://www.ksdyeoju.com/</x:v>
      </x:c>
      <x:c r="P21" s="17" t="str">
        <x:v>https://i.nts.go.kr/llsc/na/ntt/selectNttList.do?bbsId=22830&amp;mi=1511</x:v>
      </x:c>
      <x:c r="Q21" s="17" t="str">
        <x:v>B | 2개 출처 일치</x:v>
      </x:c>
      <x:c r="R21" s="17" t="str">
        <x:v>공식 설립연도 미확인</x:v>
      </x:c>
      <x:c r="S21" s="17" t="str">
        <x:v>공식 또는 널리 쓰이는 영문 표기</x:v>
      </x:c>
      <x:c r="T21" s="17" t="str">
        <x:v>등록 가능. 설립연도·공식 영문명은 공개 근거가 없으면 빈칸/권장 표기로 유지</x:v>
      </x:c>
    </x:row>
    <x:row r="22" ht="78" customHeight="1">
      <x:c r="A22" s="17" t="str">
        <x:v>OTHER</x:v>
      </x:c>
      <x:c r="B22" s="17" t="str">
        <x:v>남한산성소주</x:v>
      </x:c>
      <x:c r="C22" s="17" t="str">
        <x:v>Namhansanseongsoju Brewery</x:v>
      </x:c>
      <x:c r="D22" s="17"/>
      <x:c r="E22" s="17" t="str">
        <x:v>http://www.sansungsoju.com/</x:v>
      </x:c>
      <x:c r="F22" s="17" t="str">
        <x:v>남한산성소주, Namhansanseongsoju Brewery, 남한산성소주 21</x:v>
      </x:c>
      <x:c r="G22" s="17" t="str">
        <x:v>대한민국</x:v>
      </x:c>
      <x:c r="H22" s="17" t="str">
        <x:v>경기도</x:v>
      </x:c>
      <x:c r="I22" s="17" t="str">
        <x:v>남한산성소주(Namhansanseongsoju Brewery)은 경기도에 기반을 둔 대한민국의 증류식 소주 제조사입니다. 공개 자료에서 남한산성소주·남한산성소주 21의 제조사로 확인됩니다. 공개 제품 설명에는 쌀·보리·누룩·국 등을 원료로 사용하는 내용이 확인됩니다. 2026년 조사 시점에 공공 카탈로그와 별도 제조사·판매 경로를 대조해 제품 활동을 확인했습니다.</x:v>
      </x:c>
      <x:c r="J22" s="17" t="str">
        <x:v>남한산성소주 (Namhansanseongsoju Brewery) is a distilled soju producer based in Gyeonggi-do, South Korea. Public sources identify it as the producer of 남한산성소주·남한산성소주 21. Published product information refers to ingredients including 쌀·보리·누룩·국. The producer and its soju activity were cross-checked against public and independent producer, sales, or government sources during the 2026 review.</x:v>
      </x:c>
      <x:c r="K22" s="17" t="str">
        <x:v>남한산성소주, 남한산성소주 21</x:v>
      </x:c>
      <x:c r="L22" s="17" t="str">
        <x:v>증류식</x:v>
      </x:c>
      <x:c r="M22" s="17" t="str">
        <x:v>2026 조사 시점 공공 카탈로그 등재와 제조사·판매 페이지를 대조</x:v>
      </x:c>
      <x:c r="N22" s="17" t="str">
        <x:v>https://thesool.com/front/find/M000000082/view.do?productId=PR00000586</x:v>
      </x:c>
      <x:c r="O22" s="17" t="str">
        <x:v>http://www.sansungsoju.com/</x:v>
      </x:c>
      <x:c r="P22" s="17" t="str"/>
      <x:c r="Q22" s="17" t="str">
        <x:v>B | 2개 출처 일치</x:v>
      </x:c>
      <x:c r="R22" s="17" t="str">
        <x:v>공식 설립연도 미확인</x:v>
      </x:c>
      <x:c r="S22" s="17" t="str">
        <x:v>권장 로마자 표기 — 등록 전 공식 표기 확인</x:v>
      </x:c>
      <x:c r="T22" s="17" t="str">
        <x:v>등록 가능. 설립연도·공식 영문명은 공개 근거가 없으면 빈칸/권장 표기로 유지</x:v>
      </x:c>
    </x:row>
    <x:row r="23" ht="78" customHeight="1">
      <x:c r="A23" s="17" t="str">
        <x:v>OTHER</x:v>
      </x:c>
      <x:c r="B23" s="17" t="str">
        <x:v>내변산</x:v>
      </x:c>
      <x:c r="C23" s="17" t="str">
        <x:v>Naebyeonsan Brewery</x:v>
      </x:c>
      <x:c r="D23" s="17"/>
      <x:c r="E23" s="17" t="str">
        <x:v>https://smartstore.naver.com/odwine/products/6140247908</x:v>
      </x:c>
      <x:c r="F23" s="17" t="str">
        <x:v>내변산, Naebyeonsan Brewery, 백제소주</x:v>
      </x:c>
      <x:c r="G23" s="17" t="str">
        <x:v>대한민국</x:v>
      </x:c>
      <x:c r="H23" s="17" t="str">
        <x:v>전라북도</x:v>
      </x:c>
      <x:c r="I23" s="17" t="str">
        <x:v>내변산(Naebyeonsan Brewery)은 전라북도에 기반을 둔 대한민국의 증류식 소주 제조사입니다. 공개 자료에서 백제소주의 제조사로 확인됩니다. 공개 제품 설명에는 쌀 등을 원료로 사용하는 내용이 확인됩니다. 2026년 조사 시점에 공공 카탈로그와 별도 제조사·판매 경로를 대조해 제품 활동을 확인했습니다.</x:v>
      </x:c>
      <x:c r="J23" s="17" t="str">
        <x:v>내변산 (Naebyeonsan Brewery) is a distilled soju producer based in Jeollabuk-do, South Korea. Public sources identify it as the producer of 백제소주. Published product information refers to ingredients including 쌀. The producer and its soju activity were cross-checked against public and independent producer, sales, or government sources during the 2026 review.</x:v>
      </x:c>
      <x:c r="K23" s="17" t="str">
        <x:v>백제소주</x:v>
      </x:c>
      <x:c r="L23" s="17" t="str">
        <x:v>증류식</x:v>
      </x:c>
      <x:c r="M23" s="17" t="str">
        <x:v>2026 조사 시점 공공 카탈로그 등재와 제조사·판매 페이지를 대조</x:v>
      </x:c>
      <x:c r="N23" s="17" t="str">
        <x:v>https://thesool.com/front/find/M000000082/view.do?productId=PR00001019</x:v>
      </x:c>
      <x:c r="O23" s="17" t="str">
        <x:v>https://smartstore.naver.com/odwine/products/6140247908</x:v>
      </x:c>
      <x:c r="P23" s="17" t="str"/>
      <x:c r="Q23" s="17" t="str">
        <x:v>B | 2개 출처 일치</x:v>
      </x:c>
      <x:c r="R23" s="17" t="str">
        <x:v>공식 설립연도 미확인</x:v>
      </x:c>
      <x:c r="S23" s="17" t="str">
        <x:v>권장 로마자 표기 — 등록 전 공식 표기 확인</x:v>
      </x:c>
      <x:c r="T23" s="17" t="str">
        <x:v>등록 가능. 설립연도·공식 영문명은 공개 근거가 없으면 빈칸/권장 표기로 유지</x:v>
      </x:c>
    </x:row>
    <x:row r="24" ht="78" customHeight="1">
      <x:c r="A24" s="17" t="str">
        <x:v>OTHER</x:v>
      </x:c>
      <x:c r="B24" s="17" t="str">
        <x:v>내외 디스틸러리</x:v>
      </x:c>
      <x:c r="C24" s="17" t="str">
        <x:v>Naeoe Distillery</x:v>
      </x:c>
      <x:c r="D24" s="17"/>
      <x:c r="E24" s="17" t="str"/>
      <x:c r="F24" s="17" t="str">
        <x:v>내외39, 내외 디스틸러리, Naeoe Distillery</x:v>
      </x:c>
      <x:c r="G24" s="17" t="str">
        <x:v>대한민국</x:v>
      </x:c>
      <x:c r="H24" s="17" t="str"/>
      <x:c r="I24" s="17" t="str">
        <x:v>내외 디스틸러리(Naeoe Distillery)은 대한민국에서 운영되는 대한민국의 증류식 소주 제조사입니다. 공개 자료에서 내외39의 제조사로 확인됩니다. 2026년 조사 시점에 공공 카탈로그와 별도 제조사·판매 경로를 대조해 제품 활동을 확인했습니다.</x:v>
      </x:c>
      <x:c r="J24" s="17" t="str">
        <x:v>내외 디스틸러리 (Naeoe Distillery) is a distilled soju producer operating in South Korea. Public sources identify it as the producer of 내외39. The producer and its soju activity were cross-checked against public and independent producer, sales, or government sources during the 2026 review.</x:v>
      </x:c>
      <x:c r="K24" s="17" t="str">
        <x:v>내외39</x:v>
      </x:c>
      <x:c r="L24" s="17" t="str">
        <x:v>증류식</x:v>
      </x:c>
      <x:c r="M24" s="17" t="str">
        <x:v>2026 국세청 K-SUUL 참가 제품으로 현재 생산 활동 확인. 공식 홈페이지·설립연도는 공개 확인이 필요</x:v>
      </x:c>
      <x:c r="N24" s="17" t="str">
        <x:v>https://t.nts.go.kr/dongdaegu/na/ntt/selectNttInfo.do?mi=2201&amp;nttSn=1351814</x:v>
      </x:c>
      <x:c r="O24" s="17" t="str"/>
      <x:c r="P24" s="17" t="str"/>
      <x:c r="Q24" s="17" t="str">
        <x:v>A | 2026 공식 확인</x:v>
      </x:c>
      <x:c r="R24" s="17" t="str">
        <x:v>공식 설립연도 미확인</x:v>
      </x:c>
      <x:c r="S24" s="17" t="str">
        <x:v>공식 또는 널리 쓰이는 영문 표기</x:v>
      </x:c>
      <x:c r="T24" s="17" t="str">
        <x:v>2026 국세청 K-SUUL 참가 제품으로 현재 생산 활동 확인. 공식 홈페이지·설립연도는 공개 확인이 필요</x:v>
      </x:c>
    </x:row>
    <x:row r="25" ht="78" customHeight="1">
      <x:c r="A25" s="17" t="str">
        <x:v>OTHER</x:v>
      </x:c>
      <x:c r="B25" s="17" t="str">
        <x:v>농업회사법인 (유) 양촌양조</x:v>
      </x:c>
      <x:c r="C25" s="17" t="str">
        <x:v>Yangchonyangjo Brewery</x:v>
      </x:c>
      <x:c r="D25" s="17"/>
      <x:c r="E25" s="17" t="str">
        <x:v>http://www.yangchon.co.kr/</x:v>
      </x:c>
      <x:c r="F25" s="17" t="str">
        <x:v>농업회사법인 (유)양촌양조, 농업회사법인 (유) 양촌양조, Yangchonyangjo Brewery, 여유40</x:v>
      </x:c>
      <x:c r="G25" s="17" t="str">
        <x:v>대한민국</x:v>
      </x:c>
      <x:c r="H25" s="17" t="str">
        <x:v>충청남도</x:v>
      </x:c>
      <x:c r="I25" s="17" t="str">
        <x:v>농업회사법인 (유) 양촌양조(Yangchonyangjo Brewery)은 충청남도에 기반을 둔 대한민국의 증류식 소주 제조사입니다. 공개 자료에서 여유40의 제조사로 확인됩니다. 2026년 조사 시점에 공공 카탈로그와 별도 제조사·판매 경로를 대조해 제품 활동을 확인했습니다.</x:v>
      </x:c>
      <x:c r="J25" s="17" t="str">
        <x:v>농업회사법인 (유) 양촌양조 (Yangchonyangjo Brewery) is a distilled soju producer based in Chungcheongnam-do, South Korea. Public sources identify it as the producer of 여유40. The producer and its soju activity were cross-checked against public and independent producer, sales, or government sources during the 2026 review.</x:v>
      </x:c>
      <x:c r="K25" s="17" t="str">
        <x:v>여유40</x:v>
      </x:c>
      <x:c r="L25" s="17" t="str">
        <x:v>증류식</x:v>
      </x:c>
      <x:c r="M25" s="17" t="str">
        <x:v>2026 조사 시점 공공 카탈로그 등재와 제조사·판매 페이지를 대조</x:v>
      </x:c>
      <x:c r="N25" s="17" t="str">
        <x:v>https://thesool.com/front/find/M000000082/view.do?productId=PR00001410</x:v>
      </x:c>
      <x:c r="O25" s="17" t="str">
        <x:v>http://www.yangchon.co.kr/</x:v>
      </x:c>
      <x:c r="P25" s="17" t="str"/>
      <x:c r="Q25" s="17" t="str">
        <x:v>B | 2개 출처 일치</x:v>
      </x:c>
      <x:c r="R25" s="17" t="str">
        <x:v>공식 설립연도 미확인</x:v>
      </x:c>
      <x:c r="S25" s="17" t="str">
        <x:v>권장 로마자 표기 — 등록 전 공식 표기 확인</x:v>
      </x:c>
      <x:c r="T25" s="17" t="str">
        <x:v>등록 가능. 설립연도·공식 영문명은 공개 근거가 없으면 빈칸/권장 표기로 유지</x:v>
      </x:c>
    </x:row>
    <x:row r="26" ht="78" customHeight="1">
      <x:c r="A26" s="17" t="str">
        <x:v>OTHER</x:v>
      </x:c>
      <x:c r="B26" s="17" t="str">
        <x:v>농업회사법인 (유) 화양</x:v>
      </x:c>
      <x:c r="C26" s="17" t="str">
        <x:v>Hwayang Agricultural Corporation</x:v>
      </x:c>
      <x:c r="D26" s="17"/>
      <x:c r="E26" s="17" t="str"/>
      <x:c r="F26" s="17" t="str">
        <x:v>화양, 풍정사계 동, 풍정사계, 농업회사법인 (유) 화양, Hwayang Agricultural Corporation</x:v>
      </x:c>
      <x:c r="G26" s="17" t="str">
        <x:v>대한민국</x:v>
      </x:c>
      <x:c r="H26" s="17" t="str">
        <x:v>충청북도</x:v>
      </x:c>
      <x:c r="I26" s="17" t="str">
        <x:v>농업회사법인 (유) 화양(Hwayang Agricultural Corporation)은 충청북도에 기반을 둔 대한민국의 증류식 소주 제조사입니다. 공개 자료에서 풍정사계 동의 제조사로 확인됩니다. 2026년 조사 시점에 공공 카탈로그와 별도 제조사·판매 경로를 대조해 제품 활동을 확인했습니다.</x:v>
      </x:c>
      <x:c r="J26" s="17" t="str">
        <x:v>농업회사법인 (유) 화양 (Hwayang Agricultural Corporation) is a distilled soju producer based in Chungcheongbuk-do, South Korea. Public sources identify it as the producer of 풍정사계 동. The producer and its soju activity were cross-checked against public and independent producer, sales, or government sources during the 2026 review.</x:v>
      </x:c>
      <x:c r="K26" s="17" t="str">
        <x:v>풍정사계 동</x:v>
      </x:c>
      <x:c r="L26" s="17" t="str">
        <x:v>증류식</x:v>
      </x:c>
      <x:c r="M26" s="17" t="str">
        <x:v>더술닷컴이 풍정사계 동을 증류식 소주로 명시하고 국세청 제품 목록과 제조사를 교차 확인</x:v>
      </x:c>
      <x:c r="N26" s="17" t="str">
        <x:v>https://thesool.com/front/publication/M000000066/view.do?bbsId=A000000044&amp;page=4&amp;publicationId=C000002311&amp;searchCategory=&amp;searchKey=B000000192&amp;searchString=</x:v>
      </x:c>
      <x:c r="O26" s="17" t="str">
        <x:v>https://i.nts.go.kr/llsc/na/ntt/selectNttList.do?bbsId=22830&amp;mi=1511</x:v>
      </x:c>
      <x:c r="P26" s="17" t="str">
        <x:v>https://thesool.com/front/find/M000000086/list.do?kind=CD00000144</x:v>
      </x:c>
      <x:c r="Q26" s="17" t="str">
        <x:v>B | 2개 출처 일치</x:v>
      </x:c>
      <x:c r="R26" s="17" t="str">
        <x:v>공식 설립연도 미확인</x:v>
      </x:c>
      <x:c r="S26" s="17" t="str">
        <x:v>공식 또는 널리 쓰이는 영문 표기</x:v>
      </x:c>
      <x:c r="T26" s="17" t="str">
        <x:v>더술닷컴이 풍정사계 동을 증류식 소주로 명시하고 국세청 제품 목록과 제조사를 교차 확인</x:v>
      </x:c>
    </x:row>
    <x:row r="27" ht="78" customHeight="1">
      <x:c r="A27" s="17" t="str">
        <x:v>OTHER</x:v>
      </x:c>
      <x:c r="B27" s="17" t="str">
        <x:v>농업회사법인 ㈜달홀주조</x:v>
      </x:c>
      <x:c r="C27" s="17" t="str">
        <x:v>Dalholjujo Brewery</x:v>
      </x:c>
      <x:c r="D27" s="17"/>
      <x:c r="E27" s="17" t="str">
        <x:v>http://dalholju.com/</x:v>
      </x:c>
      <x:c r="F27" s="17" t="str">
        <x:v>농업회사법인 달홀주조, 농업회사법인(주)달홀주조, 농업회사법인 ㈜달홀주조, Dalholjujo Brewery, 달홀진주25, 달홀진주</x:v>
      </x:c>
      <x:c r="G27" s="17" t="str">
        <x:v>대한민국</x:v>
      </x:c>
      <x:c r="H27" s="17" t="str">
        <x:v>강원도</x:v>
      </x:c>
      <x:c r="I27" s="17" t="str">
        <x:v>농업회사법인 ㈜달홀주조(Dalholjujo Brewery)은 강원도에 기반을 둔 대한민국의 증류식 소주 제조사입니다. 공개 자료에서 달홀진주25·달홀진주의 제조사로 확인됩니다. 공개 제품 설명에는 쌀 등을 원료로 사용하는 내용이 확인됩니다. 2026년 조사 시점에 공공 카탈로그와 별도 제조사·판매 경로를 대조해 제품 활동을 확인했습니다.</x:v>
      </x:c>
      <x:c r="J27" s="17" t="str">
        <x:v>농업회사법인 ㈜달홀주조 (Dalholjujo Brewery) is a distilled soju producer based in Gangwon-do, South Korea. Public sources identify it as the producer of 달홀진주25·달홀진주. Published product information refers to ingredients including 쌀. The producer and its soju activity were cross-checked against public and independent producer, sales, or government sources during the 2026 review.</x:v>
      </x:c>
      <x:c r="K27" s="17" t="str">
        <x:v>달홀진주25, 달홀진주</x:v>
      </x:c>
      <x:c r="L27" s="17" t="str">
        <x:v>증류식</x:v>
      </x:c>
      <x:c r="M27" s="17" t="str">
        <x:v>2026 조사 시점 공공 카탈로그 등재와 제조사·판매 페이지를 대조</x:v>
      </x:c>
      <x:c r="N27" s="17" t="str">
        <x:v>https://thesool.com/front/find/M000000082/view.do?productId=PR00000740</x:v>
      </x:c>
      <x:c r="O27" s="17" t="str">
        <x:v>http://dalholju.com/</x:v>
      </x:c>
      <x:c r="P27" s="17" t="str">
        <x:v>https://i.nts.go.kr/llsc/na/ntt/selectNttList.do?bbsId=22830&amp;mi=1511</x:v>
      </x:c>
      <x:c r="Q27" s="17" t="str">
        <x:v>B | 2개 출처 일치</x:v>
      </x:c>
      <x:c r="R27" s="17" t="str">
        <x:v>공식 설립연도 미확인</x:v>
      </x:c>
      <x:c r="S27" s="17" t="str">
        <x:v>권장 로마자 표기 — 등록 전 공식 표기 확인</x:v>
      </x:c>
      <x:c r="T27" s="17" t="str">
        <x:v>등록 가능. 설립연도·공식 영문명은 공개 근거가 없으면 빈칸/권장 표기로 유지</x:v>
      </x:c>
    </x:row>
    <x:row r="28" ht="78" customHeight="1">
      <x:c r="A28" s="17" t="str">
        <x:v>OTHER</x:v>
      </x:c>
      <x:c r="B28" s="17" t="str">
        <x:v>농업회사법인 ㈜온증류소</x:v>
      </x:c>
      <x:c r="C28" s="17" t="str">
        <x:v>Distillery On Co., Ltd.</x:v>
      </x:c>
      <x:c r="D28" s="17"/>
      <x:c r="E28" s="17" t="str">
        <x:v>https://smartstore.naver.com/distilleryon</x:v>
      </x:c>
      <x:c r="F28" s="17" t="str">
        <x:v>온 증류소, 농업회사법인 (주)온증류소, 농업회사법인 ㈜온증류소, Distillery On Co., Ltd., 형형 25, 연연 25, 형형40</x:v>
      </x:c>
      <x:c r="G28" s="17" t="str">
        <x:v>대한민국</x:v>
      </x:c>
      <x:c r="H28" s="17" t="str">
        <x:v>경기도</x:v>
      </x:c>
      <x:c r="I28" s="17" t="str">
        <x:v>농업회사법인 ㈜온증류소(Distillery On Co., Ltd.)은 경기도에 기반을 둔 대한민국의 증류식 소주 제조사입니다. 공개 자료에서 형형 25·연연 25·형형40의 제조사로 확인됩니다. 공개 제품 설명에는 쌀 등을 원료로 사용하는 내용이 확인됩니다. 2026년 조사 시점에 공공 카탈로그와 별도 제조사·판매 경로를 대조해 제품 활동을 확인했습니다.</x:v>
      </x:c>
      <x:c r="J28" s="17" t="str">
        <x:v>농업회사법인 ㈜온증류소 (Distillery On Co., Ltd.) is a distilled soju producer based in Gyeonggi-do, South Korea. Public sources identify it as the producer of 형형 25·연연 25·형형40. Published product information refers to ingredients including 쌀. The producer and its soju activity were cross-checked against public and independent producer, sales, or government sources during the 2026 review.</x:v>
      </x:c>
      <x:c r="K28" s="17" t="str">
        <x:v>형형 25, 연연 25, 형형40</x:v>
      </x:c>
      <x:c r="L28" s="17" t="str">
        <x:v>증류식</x:v>
      </x:c>
      <x:c r="M28" s="17" t="str">
        <x:v>2026 조사 시점 공공 카탈로그 등재와 제조사·판매 페이지를 대조</x:v>
      </x:c>
      <x:c r="N28" s="17" t="str">
        <x:v>https://thesool.com/front/find/M000000082/view.do?productId=PR00001269</x:v>
      </x:c>
      <x:c r="O28" s="17" t="str">
        <x:v>https://smartstore.naver.com/distilleryon</x:v>
      </x:c>
      <x:c r="P28" s="17" t="str"/>
      <x:c r="Q28" s="17" t="str">
        <x:v>B | 2개 출처 일치</x:v>
      </x:c>
      <x:c r="R28" s="17" t="str">
        <x:v>공식 설립연도 미확인</x:v>
      </x:c>
      <x:c r="S28" s="17" t="str">
        <x:v>공식 또는 널리 쓰이는 영문 표기</x:v>
      </x:c>
      <x:c r="T28" s="17" t="str">
        <x:v>등록 가능. 설립연도·공식 영문명은 공개 근거가 없으면 빈칸/권장 표기로 유지</x:v>
      </x:c>
    </x:row>
    <x:row r="29" ht="78" customHeight="1">
      <x:c r="A29" s="17" t="str">
        <x:v>OTHER</x:v>
      </x:c>
      <x:c r="B29" s="17" t="str">
        <x:v>농업회사법인 담을</x:v>
      </x:c>
      <x:c r="C29" s="17" t="str">
        <x:v>Dameul Brewery</x:v>
      </x:c>
      <x:c r="D29" s="17"/>
      <x:c r="E29" s="17" t="str">
        <x:v>https://smartstore.naver.com/dameul_service</x:v>
      </x:c>
      <x:c r="F29" s="17" t="str">
        <x:v>담을, 농업회사법인 담을, 농업회사법인담을, Dameul Brewery, 주향소주 25, 주향담을, 주향이오, 주향아라, 주향아라 스페셜, 이음주</x:v>
      </x:c>
      <x:c r="G29" s="17" t="str">
        <x:v>대한민국</x:v>
      </x:c>
      <x:c r="H29" s="17" t="str">
        <x:v>충청북도</x:v>
      </x:c>
      <x:c r="I29" s="17" t="str">
        <x:v>농업회사법인 담을(Dameul Brewery)은 충청북도에 기반을 둔 대한민국의 증류식 소주 제조사입니다. 공개 자료에서 주향소주 25·주향담을·주향이오·주향아라·주향아라 스페셜·이음주의 제조사로 확인됩니다. 공개 제품 설명에는 쌀 등을 원료로 사용하는 내용이 확인됩니다. 2026년 조사 시점에 공공 카탈로그와 별도 제조사·판매 경로를 대조해 제품 활동을 확인했습니다.</x:v>
      </x:c>
      <x:c r="J29" s="17" t="str">
        <x:v>농업회사법인 담을 (Dameul Brewery) is a distilled soju producer based in Chungcheongbuk-do, South Korea. Public sources identify it as the producer of 주향소주 25·주향담을·주향이오·주향아라·주향아라 스페셜·이음주. Published product information refers to ingredients including 쌀. The producer and its soju activity were cross-checked against public and independent producer, sales, or government sources during the 2026 review.</x:v>
      </x:c>
      <x:c r="K29" s="17" t="str">
        <x:v>주향소주 25, 주향담을, 주향이오, 주향아라, 주향아라 스페셜, 이음주</x:v>
      </x:c>
      <x:c r="L29" s="17" t="str">
        <x:v>증류식</x:v>
      </x:c>
      <x:c r="M29" s="17" t="str">
        <x:v>2026 조사 시점 공공 카탈로그 등재와 제조사·판매 페이지를 대조</x:v>
      </x:c>
      <x:c r="N29" s="17" t="str">
        <x:v>https://thesool.com/front/find/M000000082/view.do?productId=PR00001379</x:v>
      </x:c>
      <x:c r="O29" s="17" t="str">
        <x:v>https://smartstore.naver.com/dameul_service</x:v>
      </x:c>
      <x:c r="P29" s="17" t="str">
        <x:v>https://i.nts.go.kr/llsc/na/ntt/selectNttList.do?bbsId=22830&amp;mi=1511</x:v>
      </x:c>
      <x:c r="Q29" s="17" t="str">
        <x:v>B | 2개 출처 일치</x:v>
      </x:c>
      <x:c r="R29" s="17" t="str">
        <x:v>공식 설립연도 미확인</x:v>
      </x:c>
      <x:c r="S29" s="17" t="str">
        <x:v>권장 로마자 표기 — 등록 전 공식 표기 확인</x:v>
      </x:c>
      <x:c r="T29" s="17" t="str">
        <x:v>등록 가능. 설립연도·공식 영문명은 공개 근거가 없으면 빈칸/권장 표기로 유지</x:v>
      </x:c>
    </x:row>
    <x:row r="30" ht="78" customHeight="1">
      <x:c r="A30" s="17" t="str">
        <x:v>OTHER</x:v>
      </x:c>
      <x:c r="B30" s="17" t="str">
        <x:v>농업회사법인 아리랑주조㈜</x:v>
      </x:c>
      <x:c r="C30" s="17" t="str">
        <x:v>Arirangjujo Brewery</x:v>
      </x:c>
      <x:c r="D30" s="17"/>
      <x:c r="E30" s="17" t="str">
        <x:v>https://smartstore.naver.com/arirangjujo/products/4985769134</x:v>
      </x:c>
      <x:c r="F30" s="17" t="str">
        <x:v>두이술공방, 농업회사법인 아리랑주조㈜, Arirangjujo Brewery, 겨울소주 25, 겨울소주45</x:v>
      </x:c>
      <x:c r="G30" s="17" t="str">
        <x:v>대한민국</x:v>
      </x:c>
      <x:c r="H30" s="17" t="str">
        <x:v>충청남도</x:v>
      </x:c>
      <x:c r="I30" s="17" t="str">
        <x:v>농업회사법인 아리랑주조㈜(Arirangjujo Brewery)은 충청남도에 기반을 둔 대한민국의 증류식 소주 제조사입니다. 공개 자료에서 겨울소주 25·겨울소주45의 제조사로 확인됩니다. 공개 제품 설명에는 쌀 등을 원료로 사용하는 내용이 확인됩니다. 2026년 조사 시점에 공공 카탈로그와 별도 제조사·판매 경로를 대조해 제품 활동을 확인했습니다.</x:v>
      </x:c>
      <x:c r="J30" s="17" t="str">
        <x:v>농업회사법인 아리랑주조㈜ (Arirangjujo Brewery) is a distilled soju producer based in Chungcheongnam-do, South Korea. Public sources identify it as the producer of 겨울소주 25·겨울소주45. Published product information refers to ingredients including 쌀. The producer and its soju activity were cross-checked against public and independent producer, sales, or government sources during the 2026 review.</x:v>
      </x:c>
      <x:c r="K30" s="17" t="str">
        <x:v>겨울소주 25, 겨울소주45</x:v>
      </x:c>
      <x:c r="L30" s="17" t="str">
        <x:v>증류식</x:v>
      </x:c>
      <x:c r="M30" s="17" t="str">
        <x:v>2026 조사 시점 공공 카탈로그 등재와 제조사·판매 페이지를 대조</x:v>
      </x:c>
      <x:c r="N30" s="17" t="str">
        <x:v>https://thesool.com/front/find/M000000082/view.do?productId=PR00000505</x:v>
      </x:c>
      <x:c r="O30" s="17" t="str">
        <x:v>https://smartstore.naver.com/arirangjujo/products/4985769134</x:v>
      </x:c>
      <x:c r="P30" s="17" t="str"/>
      <x:c r="Q30" s="17" t="str">
        <x:v>B | 2개 출처 일치</x:v>
      </x:c>
      <x:c r="R30" s="17" t="str">
        <x:v>공식 설립연도 미확인</x:v>
      </x:c>
      <x:c r="S30" s="17" t="str">
        <x:v>권장 로마자 표기 — 등록 전 공식 표기 확인</x:v>
      </x:c>
      <x:c r="T30" s="17" t="str">
        <x:v>등록 가능. 설립연도·공식 영문명은 공개 근거가 없으면 빈칸/권장 표기로 유지</x:v>
      </x:c>
    </x:row>
    <x:row r="31" ht="78" customHeight="1">
      <x:c r="A31" s="17" t="str">
        <x:v>OTHER</x:v>
      </x:c>
      <x:c r="B31" s="17" t="str">
        <x:v>농업회사법인 연천양조㈜</x:v>
      </x:c>
      <x:c r="C31" s="17" t="str">
        <x:v>Yeoncheonyangjo Brewery</x:v>
      </x:c>
      <x:c r="D31" s="17"/>
      <x:c r="E31" s="17" t="str">
        <x:v>https://ksool88.modoo.at/</x:v>
      </x:c>
      <x:c r="F31" s="17" t="str">
        <x:v>농업회사법인 연천양조(주), 연천양조, 농업회사법인 연천양조㈜, Yeoncheonyangjo Brewery, 연천 우주, 연천우주 38</x:v>
      </x:c>
      <x:c r="G31" s="17" t="str">
        <x:v>대한민국</x:v>
      </x:c>
      <x:c r="H31" s="17" t="str">
        <x:v>경기도</x:v>
      </x:c>
      <x:c r="I31" s="17" t="str">
        <x:v>농업회사법인 연천양조㈜(Yeoncheonyangjo Brewery)은 경기도에 기반을 둔 대한민국의 증류식 소주 제조사입니다. 공개 자료에서 연천 우주·연천우주 38의 제조사로 확인됩니다. 공개 제품 설명에는 쌀·누룩·국 등을 원료로 사용하는 내용이 확인됩니다. 2026년 조사 시점에 공공 카탈로그와 별도 제조사·판매 경로를 대조해 제품 활동을 확인했습니다.</x:v>
      </x:c>
      <x:c r="J31" s="17" t="str">
        <x:v>농업회사법인 연천양조㈜ (Yeoncheonyangjo Brewery) is a distilled soju producer based in Gyeonggi-do, South Korea. Public sources identify it as the producer of 연천 우주·연천우주 38. Published product information refers to ingredients including 쌀·누룩·국. The producer and its soju activity were cross-checked against public and independent producer, sales, or government sources during the 2026 review.</x:v>
      </x:c>
      <x:c r="K31" s="17" t="str">
        <x:v>연천 우주, 연천우주 38</x:v>
      </x:c>
      <x:c r="L31" s="17" t="str">
        <x:v>증류식</x:v>
      </x:c>
      <x:c r="M31" s="17" t="str">
        <x:v>2026 조사 시점 공공 카탈로그 등재와 제조사·판매 페이지를 대조</x:v>
      </x:c>
      <x:c r="N31" s="17" t="str">
        <x:v>https://thesool.com/front/find/M000000082/view.do?productId=PR00000481</x:v>
      </x:c>
      <x:c r="O31" s="17" t="str">
        <x:v>https://ksool88.modoo.at/</x:v>
      </x:c>
      <x:c r="P31" s="17" t="str"/>
      <x:c r="Q31" s="17" t="str">
        <x:v>B | 2개 출처 일치</x:v>
      </x:c>
      <x:c r="R31" s="17" t="str">
        <x:v>공식 설립연도 미확인</x:v>
      </x:c>
      <x:c r="S31" s="17" t="str">
        <x:v>권장 로마자 표기 — 등록 전 공식 표기 확인</x:v>
      </x:c>
      <x:c r="T31" s="17" t="str">
        <x:v>등록 가능. 설립연도·공식 영문명은 공개 근거가 없으면 빈칸/권장 표기로 유지</x:v>
      </x:c>
    </x:row>
    <x:row r="32" ht="78" customHeight="1">
      <x:c r="A32" s="17" t="str">
        <x:v>OTHER</x:v>
      </x:c>
      <x:c r="B32" s="17" t="str">
        <x:v>농업회사법인 이가수불㈜</x:v>
      </x:c>
      <x:c r="C32" s="17" t="str">
        <x:v>Igasubul Brewery</x:v>
      </x:c>
      <x:c r="D32" s="17"/>
      <x:c r="E32" s="17" t="str">
        <x:v>https://smartstore.naver.com/leegasubul</x:v>
      </x:c>
      <x:c r="F32" s="17" t="str">
        <x:v>농업회사법인 이가수불㈜, Igasubul Brewery, 이상헌 소주</x:v>
      </x:c>
      <x:c r="G32" s="17" t="str">
        <x:v>대한민국</x:v>
      </x:c>
      <x:c r="H32" s="17" t="str">
        <x:v>충청남도</x:v>
      </x:c>
      <x:c r="I32" s="17" t="str">
        <x:v>농업회사법인 이가수불㈜(Igasubul Brewery)은 충청남도에 기반을 둔 대한민국의 증류식 소주 제조사입니다. 공개 자료에서 이상헌 소주의 제조사로 확인됩니다. 2026년 조사 시점에 공공 카탈로그와 별도 제조사·판매 경로를 대조해 제품 활동을 확인했습니다.</x:v>
      </x:c>
      <x:c r="J32" s="17" t="str">
        <x:v>농업회사법인 이가수불㈜ (Igasubul Brewery) is a distilled soju producer based in Chungcheongnam-do, South Korea. Public sources identify it as the producer of 이상헌 소주. The producer and its soju activity were cross-checked against public and independent producer, sales, or government sources during the 2026 review.</x:v>
      </x:c>
      <x:c r="K32" s="17" t="str">
        <x:v>이상헌 소주</x:v>
      </x:c>
      <x:c r="L32" s="17" t="str">
        <x:v>증류식</x:v>
      </x:c>
      <x:c r="M32" s="17" t="str">
        <x:v>2026 조사 시점 공공 카탈로그 등재와 제조사·판매 페이지를 대조</x:v>
      </x:c>
      <x:c r="N32" s="17" t="str">
        <x:v>https://thesool.com/front/find/M000000082/view.do?productId=PR00000511</x:v>
      </x:c>
      <x:c r="O32" s="17" t="str">
        <x:v>https://smartstore.naver.com/leegasubul</x:v>
      </x:c>
      <x:c r="P32" s="17" t="str"/>
      <x:c r="Q32" s="17" t="str">
        <x:v>B | 2개 출처 일치</x:v>
      </x:c>
      <x:c r="R32" s="17" t="str">
        <x:v>공식 설립연도 미확인</x:v>
      </x:c>
      <x:c r="S32" s="17" t="str">
        <x:v>권장 로마자 표기 — 등록 전 공식 표기 확인</x:v>
      </x:c>
      <x:c r="T32" s="17" t="str">
        <x:v>등록 가능. 설립연도·공식 영문명은 공개 근거가 없으면 빈칸/권장 표기로 유지</x:v>
      </x:c>
    </x:row>
    <x:row r="33" ht="78" customHeight="1">
      <x:c r="A33" s="17" t="str">
        <x:v>OTHER</x:v>
      </x:c>
      <x:c r="B33" s="17" t="str">
        <x:v>농업회사법인 주식회사 다농바이오</x:v>
      </x:c>
      <x:c r="C33" s="17" t="str">
        <x:v>Danongbaio Brewery</x:v>
      </x:c>
      <x:c r="D33" s="17"/>
      <x:c r="E33" s="17" t="str">
        <x:v>https://danongbio.kr/</x:v>
      </x:c>
      <x:c r="F33" s="17" t="str">
        <x:v>농업회사법인 주식회사 다농바이오, Danongbaio Brewery, 가무치 25도</x:v>
      </x:c>
      <x:c r="G33" s="17" t="str">
        <x:v>대한민국</x:v>
      </x:c>
      <x:c r="H33" s="17" t="str">
        <x:v>충청북도</x:v>
      </x:c>
      <x:c r="I33" s="17" t="str">
        <x:v>농업회사법인 주식회사 다농바이오(Danongbaio Brewery)은 충청북도에 기반을 둔 대한민국의 증류식 소주 제조사입니다. 공개 자료에서 가무치 25도의 제조사로 확인됩니다. 공개 제품 설명에는 쌀 등을 원료로 사용하는 내용이 확인됩니다. 2026년 조사 시점에 공공 카탈로그와 별도 제조사·판매 경로를 대조해 제품 활동을 확인했습니다.</x:v>
      </x:c>
      <x:c r="J33" s="17" t="str">
        <x:v>농업회사법인 주식회사 다농바이오 (Danongbaio Brewery) is a distilled soju producer based in Chungcheongbuk-do, South Korea. Public sources identify it as the producer of 가무치 25도. Published product information refers to ingredients including 쌀. The producer and its soju activity were cross-checked against public and independent producer, sales, or government sources during the 2026 review.</x:v>
      </x:c>
      <x:c r="K33" s="17" t="str">
        <x:v>가무치 25도</x:v>
      </x:c>
      <x:c r="L33" s="17" t="str">
        <x:v>증류식</x:v>
      </x:c>
      <x:c r="M33" s="17" t="str">
        <x:v>2026 조사 시점 공공 카탈로그 등재와 제조사·판매 페이지를 대조</x:v>
      </x:c>
      <x:c r="N33" s="17" t="str">
        <x:v>https://thesool.com/front/find/M000000082/view.do?productId=PR00001022</x:v>
      </x:c>
      <x:c r="O33" s="17" t="str">
        <x:v>https://danongbio.kr/</x:v>
      </x:c>
      <x:c r="P33" s="17" t="str"/>
      <x:c r="Q33" s="17" t="str">
        <x:v>B | 2개 출처 일치</x:v>
      </x:c>
      <x:c r="R33" s="17" t="str">
        <x:v>공식 설립연도 미확인</x:v>
      </x:c>
      <x:c r="S33" s="17" t="str">
        <x:v>권장 로마자 표기 — 등록 전 공식 표기 확인</x:v>
      </x:c>
      <x:c r="T33" s="17" t="str">
        <x:v>등록 가능. 설립연도·공식 영문명은 공개 근거가 없으면 빈칸/권장 표기로 유지</x:v>
      </x:c>
    </x:row>
    <x:row r="34" ht="78" customHeight="1">
      <x:c r="A34" s="17" t="str">
        <x:v>OTHER</x:v>
      </x:c>
      <x:c r="B34" s="17" t="str">
        <x:v>농업회사법인 주식회사 주연향</x:v>
      </x:c>
      <x:c r="C34" s="17" t="str">
        <x:v>Juyeonhyang Brewery</x:v>
      </x:c>
      <x:c r="D34" s="17"/>
      <x:c r="E34" s="17" t="str">
        <x:v>https://smartstore.naver.com/juyeonhyang</x:v>
      </x:c>
      <x:c r="F34" s="17" t="str">
        <x:v>농업회사법인 주식회사 주연향, Juyeonhyang Brewery, 야수 S 53</x:v>
      </x:c>
      <x:c r="G34" s="17" t="str">
        <x:v>대한민국</x:v>
      </x:c>
      <x:c r="H34" s="17" t="str">
        <x:v>인천</x:v>
      </x:c>
      <x:c r="I34" s="17" t="str">
        <x:v>농업회사법인 주식회사 주연향(Juyeonhyang Brewery)은 인천에 기반을 둔 대한민국의 증류식 소주 제조사입니다. 공개 자료에서 야수 S 53의 제조사로 확인됩니다. 공개 제품 설명에는 쌀·고구마 등을 원료로 사용하는 내용이 확인됩니다. 2026년 조사 시점에 공공 카탈로그와 별도 제조사·판매 경로를 대조해 제품 활동을 확인했습니다.</x:v>
      </x:c>
      <x:c r="J34" s="17" t="str">
        <x:v>농업회사법인 주식회사 주연향 (Juyeonhyang Brewery) is a distilled soju producer based in Incheon, South Korea. Public sources identify it as the producer of 야수 S 53. Published product information refers to ingredients including 쌀·고구마. The producer and its soju activity were cross-checked against public and independent producer, sales, or government sources during the 2026 review.</x:v>
      </x:c>
      <x:c r="K34" s="17" t="str">
        <x:v>야수 S 53</x:v>
      </x:c>
      <x:c r="L34" s="17" t="str">
        <x:v>증류식</x:v>
      </x:c>
      <x:c r="M34" s="17" t="str">
        <x:v>2026 조사 시점 공공 카탈로그 등재와 제조사·판매 페이지를 대조</x:v>
      </x:c>
      <x:c r="N34" s="17" t="str">
        <x:v>https://thesool.com/front/find/M000000082/view.do?productId=PR00001242</x:v>
      </x:c>
      <x:c r="O34" s="17" t="str">
        <x:v>https://smartstore.naver.com/juyeonhyang</x:v>
      </x:c>
      <x:c r="P34" s="17" t="str"/>
      <x:c r="Q34" s="17" t="str">
        <x:v>B | 2개 출처 일치</x:v>
      </x:c>
      <x:c r="R34" s="17" t="str">
        <x:v>공식 설립연도 미확인</x:v>
      </x:c>
      <x:c r="S34" s="17" t="str">
        <x:v>권장 로마자 표기 — 등록 전 공식 표기 확인</x:v>
      </x:c>
      <x:c r="T34" s="17" t="str">
        <x:v>등록 가능. 설립연도·공식 영문명은 공개 근거가 없으면 빈칸/권장 표기로 유지</x:v>
      </x:c>
    </x:row>
    <x:row r="35" ht="78" customHeight="1">
      <x:c r="A35" s="17" t="str">
        <x:v>OTHER</x:v>
      </x:c>
      <x:c r="B35" s="17" t="str">
        <x:v>농업회사법인 토끼소주㈜</x:v>
      </x:c>
      <x:c r="C35" s="17" t="str">
        <x:v>Tokki Soju Co., Ltd.</x:v>
      </x:c>
      <x:c r="D35" s="17"/>
      <x:c r="E35" s="17" t="str">
        <x:v>https://tokkisoju.com/</x:v>
      </x:c>
      <x:c r="F35" s="17" t="str">
        <x:v>농업회사법인 토끼소주 (주), 농업회사법인 토끼소주, 농업회사법인 토끼소주㈜, Tokki Soju Co., Ltd., 토끼소주 블랙, 선비 보드카</x:v>
      </x:c>
      <x:c r="G35" s="17" t="str">
        <x:v>대한민국</x:v>
      </x:c>
      <x:c r="H35" s="17" t="str">
        <x:v>충청북도</x:v>
      </x:c>
      <x:c r="I35" s="17" t="str">
        <x:v>농업회사법인 토끼소주㈜(Tokki Soju Co., Ltd.)은 충청북도에 기반을 둔 대한민국의 증류식 소주 제조사입니다. 공개 자료에서 토끼소주 블랙·선비 보드카의 제조사로 확인됩니다. 공개 제품 설명에는 쌀·누룩·국 등을 원료로 사용하는 내용이 확인됩니다. 2026년 조사 시점에 공공 카탈로그와 별도 제조사·판매 경로를 대조해 제품 활동을 확인했습니다.</x:v>
      </x:c>
      <x:c r="J35" s="17" t="str">
        <x:v>농업회사법인 토끼소주㈜ (Tokki Soju Co., Ltd.) is a distilled soju producer based in Chungcheongbuk-do, South Korea. Public sources identify it as the producer of 토끼소주 블랙·선비 보드카. Published product information refers to ingredients including 쌀·누룩·국. The producer and its soju activity were cross-checked against public and independent producer, sales, or government sources during the 2026 review.</x:v>
      </x:c>
      <x:c r="K35" s="17" t="str">
        <x:v>토끼소주 블랙, 선비 보드카</x:v>
      </x:c>
      <x:c r="L35" s="17" t="str">
        <x:v>증류식</x:v>
      </x:c>
      <x:c r="M35" s="17" t="str">
        <x:v>2026 조사 시점 공공 카탈로그 등재와 제조사·판매 페이지를 대조</x:v>
      </x:c>
      <x:c r="N35" s="17" t="str">
        <x:v>https://thesool.com/front/find/M000000082/view.do?productId=PR00001024</x:v>
      </x:c>
      <x:c r="O35" s="17" t="str">
        <x:v>https://tokkisoju.com/</x:v>
      </x:c>
      <x:c r="P35" s="17" t="str"/>
      <x:c r="Q35" s="17" t="str">
        <x:v>B | 2개 출처 일치</x:v>
      </x:c>
      <x:c r="R35" s="17" t="str">
        <x:v>공식 설립연도 미확인</x:v>
      </x:c>
      <x:c r="S35" s="17" t="str">
        <x:v>공식 또는 널리 쓰이는 영문 표기</x:v>
      </x:c>
      <x:c r="T35" s="17" t="str">
        <x:v>등록 가능. 설립연도·공식 영문명은 공개 근거가 없으면 빈칸/권장 표기로 유지</x:v>
      </x:c>
    </x:row>
    <x:row r="36" ht="78" customHeight="1">
      <x:c r="A36" s="17" t="str">
        <x:v>OTHER</x:v>
      </x:c>
      <x:c r="B36" s="17" t="str">
        <x:v>대작영농조합법인</x:v>
      </x:c>
      <x:c r="C36" s="17" t="str">
        <x:v>Daejak Brewery</x:v>
      </x:c>
      <x:c r="D36" s="17"/>
      <x:c r="E36" s="17" t="str">
        <x:v>https://blog.naver.com/daejak_ricewine</x:v>
      </x:c>
      <x:c r="F36" s="17" t="str">
        <x:v>대작영농조합법인, Daejak Brewery, 모을동주 소주, 모을동주소주</x:v>
      </x:c>
      <x:c r="G36" s="17" t="str">
        <x:v>대한민국</x:v>
      </x:c>
      <x:c r="H36" s="17" t="str">
        <x:v>강원도</x:v>
      </x:c>
      <x:c r="I36" s="17" t="str">
        <x:v>대작영농조합법인(Daejak Brewery)은 강원도에 기반을 둔 대한민국의 증류식 소주 제조사입니다. 공개 자료에서 모을동주 소주·모을동주소주의 제조사로 확인됩니다. 공개 제품 설명에는 쌀·밀 등을 원료로 사용하는 내용이 확인됩니다. 2026년 조사 시점에 공공 카탈로그와 별도 제조사·판매 경로를 대조해 제품 활동을 확인했습니다.</x:v>
      </x:c>
      <x:c r="J36" s="17" t="str">
        <x:v>대작영농조합법인 (Daejak Brewery) is a distilled soju producer based in Gangwon-do, South Korea. Public sources identify it as the producer of 모을동주 소주·모을동주소주. Published product information refers to ingredients including 쌀·밀. The producer and its soju activity were cross-checked against public and independent producer, sales, or government sources during the 2026 review.</x:v>
      </x:c>
      <x:c r="K36" s="17" t="str">
        <x:v>모을동주 소주, 모을동주소주</x:v>
      </x:c>
      <x:c r="L36" s="17" t="str">
        <x:v>증류식</x:v>
      </x:c>
      <x:c r="M36" s="17" t="str">
        <x:v>2026 조사 시점 공공 카탈로그 등재와 제조사·판매 페이지를 대조</x:v>
      </x:c>
      <x:c r="N36" s="17" t="str">
        <x:v>https://thesool.com/front/find/M000000082/view.do?productId=PR00001162</x:v>
      </x:c>
      <x:c r="O36" s="17" t="str">
        <x:v>https://blog.naver.com/daejak_ricewine</x:v>
      </x:c>
      <x:c r="P36" s="17" t="str">
        <x:v>https://i.nts.go.kr/llsc/na/ntt/selectNttList.do?bbsId=22830&amp;mi=1511</x:v>
      </x:c>
      <x:c r="Q36" s="17" t="str">
        <x:v>B | 2개 출처 일치</x:v>
      </x:c>
      <x:c r="R36" s="17" t="str">
        <x:v>공식 설립연도 미확인</x:v>
      </x:c>
      <x:c r="S36" s="17" t="str">
        <x:v>권장 로마자 표기 — 등록 전 공식 표기 확인</x:v>
      </x:c>
      <x:c r="T36" s="17" t="str">
        <x:v>등록 가능. 설립연도·공식 영문명은 공개 근거가 없으면 빈칸/권장 표기로 유지</x:v>
      </x:c>
    </x:row>
    <x:row r="37" ht="78" customHeight="1">
      <x:c r="A37" s="17" t="str">
        <x:v>OTHER</x:v>
      </x:c>
      <x:c r="B37" s="17" t="str">
        <x:v>맹개술도가</x:v>
      </x:c>
      <x:c r="C37" s="17" t="str">
        <x:v>Maenggaesuldoga Brewery</x:v>
      </x:c>
      <x:c r="D37" s="17"/>
      <x:c r="E37" s="17" t="str">
        <x:v>https://3d.co.kr/mgsdg/</x:v>
      </x:c>
      <x:c r="F37" s="17" t="str">
        <x:v>맹개술도가, Maenggaesuldoga Brewery, 안동 진맥 소주</x:v>
      </x:c>
      <x:c r="G37" s="17" t="str">
        <x:v>대한민국</x:v>
      </x:c>
      <x:c r="H37" s="17" t="str">
        <x:v>경상북도</x:v>
      </x:c>
      <x:c r="I37" s="17" t="str">
        <x:v>맹개술도가(Maenggaesuldoga Brewery)은 경상북도에 기반을 둔 대한민국의 증류식 소주 제조사입니다. 공개 자료에서 안동 진맥 소주의 제조사로 확인됩니다. 공개 제품 설명에는 밀 등을 원료로 사용하는 내용이 확인됩니다. 2026년 조사 시점에 공공 카탈로그와 별도 제조사·판매 경로를 대조해 제품 활동을 확인했습니다.</x:v>
      </x:c>
      <x:c r="J37" s="17" t="str">
        <x:v>맹개술도가 (Maenggaesuldoga Brewery) is a distilled soju producer based in Gyeongsangbuk-do, South Korea. Public sources identify it as the producer of 안동 진맥 소주. Published product information refers to ingredients including 밀. The producer and its soju activity were cross-checked against public and independent producer, sales, or government sources during the 2026 review.</x:v>
      </x:c>
      <x:c r="K37" s="17" t="str">
        <x:v>안동 진맥 소주</x:v>
      </x:c>
      <x:c r="L37" s="17" t="str">
        <x:v>증류식</x:v>
      </x:c>
      <x:c r="M37" s="17" t="str">
        <x:v>2026 조사 시점 공공 카탈로그 등재와 제조사·판매 페이지를 대조</x:v>
      </x:c>
      <x:c r="N37" s="17" t="str">
        <x:v>https://thesool.com/front/find/M000000082/view.do?productId=PR00001319</x:v>
      </x:c>
      <x:c r="O37" s="17" t="str">
        <x:v>https://3d.co.kr/mgsdg/</x:v>
      </x:c>
      <x:c r="P37" s="17" t="str"/>
      <x:c r="Q37" s="17" t="str">
        <x:v>B | 2개 출처 일치</x:v>
      </x:c>
      <x:c r="R37" s="17" t="str">
        <x:v>공식 설립연도 미확인</x:v>
      </x:c>
      <x:c r="S37" s="17" t="str">
        <x:v>권장 로마자 표기 — 등록 전 공식 표기 확인</x:v>
      </x:c>
      <x:c r="T37" s="17" t="str">
        <x:v>등록 가능. 설립연도·공식 영문명은 공개 근거가 없으면 빈칸/권장 표기로 유지</x:v>
      </x:c>
    </x:row>
    <x:row r="38" ht="78" customHeight="1">
      <x:c r="A38" s="17" t="str">
        <x:v>OTHER</x:v>
      </x:c>
      <x:c r="B38" s="17" t="str">
        <x:v>명인안동소주</x:v>
      </x:c>
      <x:c r="C38" s="17" t="str">
        <x:v>Master Andong Soju</x:v>
      </x:c>
      <x:c r="D38" s="17"/>
      <x:c r="E38" s="17" t="str">
        <x:v>http://www.adsoju.com/</x:v>
      </x:c>
      <x:c r="F38" s="17" t="str">
        <x:v>명인안동소주, Master Andong Soju, 명인 안동소주 양반탈, 명인 안동소주 22%, 명인안동소주 35%, 명인안동소주/22도, 명인안동소주/45도</x:v>
      </x:c>
      <x:c r="G38" s="17" t="str">
        <x:v>대한민국</x:v>
      </x:c>
      <x:c r="H38" s="17" t="str">
        <x:v>경상북도</x:v>
      </x:c>
      <x:c r="I38" s="17" t="str">
        <x:v>명인안동소주(Master Andong Soju)은 경상북도에 기반을 둔 대한민국의 증류식 소주 제조사입니다. 공개 자료에서 명인 안동소주 양반탈·명인 안동소주 22%·명인안동소주 35%·명인안동소주/22도·명인안동소주/45도의 제조사로 확인됩니다. 공개 제품 설명에는 쌀·누룩·국 등을 원료로 사용하는 내용이 확인됩니다. 2026년 조사 시점에 공공 카탈로그와 별도 제조사·판매 경로를 대조해 제품 활동을 확인했습니다.</x:v>
      </x:c>
      <x:c r="J38" s="17" t="str">
        <x:v>명인안동소주 (Master Andong Soju) is a distilled soju producer based in Gyeongsangbuk-do, South Korea. Public sources identify it as the producer of 명인 안동소주 양반탈·명인 안동소주 22%·명인안동소주 35%·명인안동소주/22도·명인안동소주/45도. Published product information refers to ingredients including 쌀·누룩·국. The producer and its soju activity were cross-checked against public and independent producer, sales, or government sources during the 2026 review.</x:v>
      </x:c>
      <x:c r="K38" s="17" t="str">
        <x:v>명인 안동소주 양반탈, 명인 안동소주 22%, 명인안동소주 35%, 명인안동소주/22도, 명인안동소주/45도</x:v>
      </x:c>
      <x:c r="L38" s="17" t="str">
        <x:v>증류식</x:v>
      </x:c>
      <x:c r="M38" s="17" t="str">
        <x:v>2026 조사 시점 공공 카탈로그 등재와 제조사·판매 페이지를 대조</x:v>
      </x:c>
      <x:c r="N38" s="17" t="str">
        <x:v>https://thesool.com/front/find/M000000082/view.do?productId=PR00000493</x:v>
      </x:c>
      <x:c r="O38" s="17" t="str">
        <x:v>http://www.adsoju.com/</x:v>
      </x:c>
      <x:c r="P38" s="17" t="str">
        <x:v>https://i.nts.go.kr/llsc/na/ntt/selectNttList.do?bbsId=22830&amp;mi=1511</x:v>
      </x:c>
      <x:c r="Q38" s="17" t="str">
        <x:v>B | 2개 출처 일치</x:v>
      </x:c>
      <x:c r="R38" s="17" t="str">
        <x:v>공식 설립연도 미확인</x:v>
      </x:c>
      <x:c r="S38" s="17" t="str">
        <x:v>공식 또는 널리 쓰이는 영문 표기</x:v>
      </x:c>
      <x:c r="T38" s="17" t="str">
        <x:v>등록 가능. 설립연도·공식 영문명은 공개 근거가 없으면 빈칸/권장 표기로 유지</x:v>
      </x:c>
    </x:row>
    <x:row r="39" ht="78" customHeight="1">
      <x:c r="A39" s="17" t="str">
        <x:v>OTHER</x:v>
      </x:c>
      <x:c r="B39" s="17" t="str">
        <x:v>문배주양조원</x:v>
      </x:c>
      <x:c r="C39" s="17" t="str">
        <x:v>Moonbaesool Brewery</x:v>
      </x:c>
      <x:c r="D39" s="17"/>
      <x:c r="E39" s="17" t="str">
        <x:v>https://www.moonbaesool.co.kr/</x:v>
      </x:c>
      <x:c r="F39" s="17" t="str">
        <x:v>문배주양조원, Moonbaesool Brewery, 문배주 용상, 문배술, 문배술 헤리티지 40도, 문배술 천향, 문배술 명작, 문배술 용상, 문배술 호리병</x:v>
      </x:c>
      <x:c r="G39" s="17" t="str">
        <x:v>대한민국</x:v>
      </x:c>
      <x:c r="H39" s="17" t="str">
        <x:v>경기도</x:v>
      </x:c>
      <x:c r="I39" s="17" t="str">
        <x:v>문배주양조원(Moonbaesool Brewery)은 경기도에 기반을 둔 대한민국의 증류식 소주 제조사입니다. 공개 자료에서 문배주 용상·문배술·문배술 헤리티지 40도·문배술 천향·문배술 명작·문배술 용상·문배술 호리병의 제조사로 확인됩니다. 공개 제품 설명에는 쌀 등을 원료로 사용하는 내용이 확인됩니다. 2026년 조사 시점에 공공 카탈로그와 별도 제조사·판매 경로를 대조해 제품 활동을 확인했습니다.</x:v>
      </x:c>
      <x:c r="J39" s="17" t="str">
        <x:v>문배주양조원 (Moonbaesool Brewery) is a distilled soju producer based in Gyeonggi-do, South Korea. Public sources identify it as the producer of 문배주 용상·문배술·문배술 헤리티지 40도·문배술 천향·문배술 명작·문배술 용상·문배술 호리병. Published product information refers to ingredients including 쌀. The producer and its soju activity were cross-checked against public and independent producer, sales, or government sources during the 2026 review.</x:v>
      </x:c>
      <x:c r="K39" s="17" t="str">
        <x:v>문배주 용상, 문배술, 문배술 헤리티지 40도, 문배술 천향, 문배술 명작, 문배술 용상, 문배술 호리병</x:v>
      </x:c>
      <x:c r="L39" s="17" t="str">
        <x:v>증류식</x:v>
      </x:c>
      <x:c r="M39" s="17" t="str">
        <x:v>2026 조사 시점 공공 카탈로그 등재와 제조사·판매 페이지를 대조</x:v>
      </x:c>
      <x:c r="N39" s="17" t="str">
        <x:v>https://thesool.com/front/find/M000000082/view.do?productId=PR00001354</x:v>
      </x:c>
      <x:c r="O39" s="17" t="str">
        <x:v>https://www.moonbaesool.co.kr/</x:v>
      </x:c>
      <x:c r="P39" s="17" t="str">
        <x:v>https://i.nts.go.kr/llsc/na/ntt/selectNttList.do?bbsId=22830&amp;mi=1511</x:v>
      </x:c>
      <x:c r="Q39" s="17" t="str">
        <x:v>B | 2개 출처 일치</x:v>
      </x:c>
      <x:c r="R39" s="17" t="str">
        <x:v>공식 설립연도 미확인</x:v>
      </x:c>
      <x:c r="S39" s="17" t="str">
        <x:v>공식 또는 널리 쓰이는 영문 표기</x:v>
      </x:c>
      <x:c r="T39" s="17" t="str">
        <x:v>등록 가능. 설립연도·공식 영문명은 공개 근거가 없으면 빈칸/권장 표기로 유지</x:v>
      </x:c>
    </x:row>
    <x:row r="40" ht="78" customHeight="1">
      <x:c r="A40" s="17" t="str">
        <x:v>OTHER</x:v>
      </x:c>
      <x:c r="B40" s="17" t="str">
        <x:v>미음넷증류소</x:v>
      </x:c>
      <x:c r="C40" s="17" t="str">
        <x:v>Fourmieum Distillery</x:v>
      </x:c>
      <x:c r="D40" s="17"/>
      <x:c r="E40" s="17" t="str">
        <x:v>https://smartstore.naver.com/fourmieum</x:v>
      </x:c>
      <x:c r="F40" s="17" t="str">
        <x:v>미음넷증류소, Fourmieum Distillery, 소주다움 45, 소주다움27</x:v>
      </x:c>
      <x:c r="G40" s="17" t="str">
        <x:v>대한민국</x:v>
      </x:c>
      <x:c r="H40" s="17" t="str">
        <x:v>경기도</x:v>
      </x:c>
      <x:c r="I40" s="17" t="str">
        <x:v>미음넷증류소(Fourmieum Distillery)은 경기도에 기반을 둔 대한민국의 증류식 소주 제조사입니다. 공개 자료에서 소주다움 45·소주다움27의 제조사로 확인됩니다. 공개 제품 설명에는 쌀 등을 원료로 사용하는 내용이 확인됩니다. 2026년 조사 시점에 공공 카탈로그와 별도 제조사·판매 경로를 대조해 제품 활동을 확인했습니다.</x:v>
      </x:c>
      <x:c r="J40" s="17" t="str">
        <x:v>미음넷증류소 (Fourmieum Distillery) is a distilled soju producer based in Gyeonggi-do, South Korea. Public sources identify it as the producer of 소주다움 45·소주다움27. Published product information refers to ingredients including 쌀. The producer and its soju activity were cross-checked against public and independent producer, sales, or government sources during the 2026 review.</x:v>
      </x:c>
      <x:c r="K40" s="17" t="str">
        <x:v>소주다움 45, 소주다움27</x:v>
      </x:c>
      <x:c r="L40" s="17" t="str">
        <x:v>증류식</x:v>
      </x:c>
      <x:c r="M40" s="17" t="str">
        <x:v>2026 조사 시점 공공 카탈로그 등재와 제조사·판매 페이지를 대조</x:v>
      </x:c>
      <x:c r="N40" s="17" t="str">
        <x:v>https://thesool.com/front/find/M000000082/view.do?productId=PR00001324</x:v>
      </x:c>
      <x:c r="O40" s="17" t="str">
        <x:v>https://smartstore.naver.com/fourmieum</x:v>
      </x:c>
      <x:c r="P40" s="17" t="str"/>
      <x:c r="Q40" s="17" t="str">
        <x:v>B | 2개 출처 일치</x:v>
      </x:c>
      <x:c r="R40" s="17" t="str">
        <x:v>공식 설립연도 미확인</x:v>
      </x:c>
      <x:c r="S40" s="17" t="str">
        <x:v>공식 또는 널리 쓰이는 영문 표기</x:v>
      </x:c>
      <x:c r="T40" s="17" t="str">
        <x:v>등록 가능. 설립연도·공식 영문명은 공개 근거가 없으면 빈칸/권장 표기로 유지</x:v>
      </x:c>
    </x:row>
    <x:row r="41" ht="78" customHeight="1">
      <x:c r="A41" s="17" t="str">
        <x:v>OTHER</x:v>
      </x:c>
      <x:c r="B41" s="17" t="str">
        <x:v>밀과노닐다</x:v>
      </x:c>
      <x:c r="C41" s="17" t="str">
        <x:v>Milgwanonilda Brewery</x:v>
      </x:c>
      <x:c r="D41" s="17"/>
      <x:c r="E41" s="17" t="str">
        <x:v>https://www.jinmaek.co/</x:v>
      </x:c>
      <x:c r="F41" s="17" t="str">
        <x:v>밀과노닐다, Milgwanonilda Brewery, 진맥소주 오크40%, 시인의 바위, 진맥소주 시인의바위, 진맥소주</x:v>
      </x:c>
      <x:c r="G41" s="17" t="str">
        <x:v>대한민국</x:v>
      </x:c>
      <x:c r="H41" s="17" t="str">
        <x:v>경상북도</x:v>
      </x:c>
      <x:c r="I41" s="17" t="str">
        <x:v>밀과노닐다(Milgwanonilda Brewery)은 경상북도에 기반을 둔 대한민국의 증류식 소주 제조사입니다. 공개 자료에서 진맥소주 오크40%·시인의 바위·진맥소주 시인의바위·진맥소주의 제조사로 확인됩니다. 공개 제품 설명에는 밀 등을 원료로 사용하는 내용이 확인됩니다. 2026년 조사 시점에 공공 카탈로그와 별도 제조사·판매 경로를 대조해 제품 활동을 확인했습니다.</x:v>
      </x:c>
      <x:c r="J41" s="17" t="str">
        <x:v>밀과노닐다 (Milgwanonilda Brewery) is a distilled soju producer based in Gyeongsangbuk-do, South Korea. Public sources identify it as the producer of 진맥소주 오크40%·시인의 바위·진맥소주 시인의바위·진맥소주. Published product information refers to ingredients including 밀. The producer and its soju activity were cross-checked against public and independent producer, sales, or government sources during the 2026 review.</x:v>
      </x:c>
      <x:c r="K41" s="17" t="str">
        <x:v>진맥소주 오크40%, 시인의 바위, 진맥소주 시인의바위, 진맥소주</x:v>
      </x:c>
      <x:c r="L41" s="17" t="str">
        <x:v>증류식</x:v>
      </x:c>
      <x:c r="M41" s="17" t="str">
        <x:v>2026 조사 시점 공공 카탈로그 등재와 제조사·판매 페이지를 대조</x:v>
      </x:c>
      <x:c r="N41" s="17" t="str">
        <x:v>https://thesool.com/front/find/M000000082/view.do?productId=PR00001357</x:v>
      </x:c>
      <x:c r="O41" s="17" t="str">
        <x:v>https://www.jinmaek.co/</x:v>
      </x:c>
      <x:c r="P41" s="17" t="str"/>
      <x:c r="Q41" s="17" t="str">
        <x:v>B | 2개 출처 일치</x:v>
      </x:c>
      <x:c r="R41" s="17" t="str">
        <x:v>공식 설립연도 미확인</x:v>
      </x:c>
      <x:c r="S41" s="17" t="str">
        <x:v>권장 로마자 표기 — 등록 전 공식 표기 확인</x:v>
      </x:c>
      <x:c r="T41" s="17" t="str">
        <x:v>등록 가능. 설립연도·공식 영문명은 공개 근거가 없으면 빈칸/권장 표기로 유지</x:v>
      </x:c>
    </x:row>
    <x:row r="42" ht="78" customHeight="1">
      <x:c r="A42" s="17" t="str">
        <x:v>OTHER</x:v>
      </x:c>
      <x:c r="B42" s="17" t="str">
        <x:v>밝은세상영농조합</x:v>
      </x:c>
      <x:c r="C42" s="17" t="str">
        <x:v>Balkeunsesangyeongnongjohap Brewery</x:v>
      </x:c>
      <x:c r="D42" s="17"/>
      <x:c r="E42" s="17" t="str">
        <x:v>https://www.instagram.com/tigercalyx/?hl=ko</x:v>
      </x:c>
      <x:c r="F42" s="17" t="str">
        <x:v>밝은세상영농조합, Balkeunsesangyeongnongjohap Brewery, 소호</x:v>
      </x:c>
      <x:c r="G42" s="17" t="str">
        <x:v>대한민국</x:v>
      </x:c>
      <x:c r="H42" s="17" t="str">
        <x:v>경기도</x:v>
      </x:c>
      <x:c r="I42" s="17" t="str">
        <x:v>밝은세상영농조합(Balkeunsesangyeongnongjohap Brewery)은 경기도에 기반을 둔 대한민국의 증류식 소주 제조사입니다. 공개 자료에서 소호의 제조사로 확인됩니다. 공개 제품 설명에는 쌀·누룩·국 등을 원료로 사용하는 내용이 확인됩니다. 2026년 조사 시점에 공공 카탈로그와 별도 제조사·판매 경로를 대조해 제품 활동을 확인했습니다.</x:v>
      </x:c>
      <x:c r="J42" s="17" t="str">
        <x:v>밝은세상영농조합 (Balkeunsesangyeongnongjohap Brewery) is a distilled soju producer based in Gyeonggi-do, South Korea. Public sources identify it as the producer of 소호. Published product information refers to ingredients including 쌀·누룩·국. The producer and its soju activity were cross-checked against public and independent producer, sales, or government sources during the 2026 review.</x:v>
      </x:c>
      <x:c r="K42" s="17" t="str">
        <x:v>소호</x:v>
      </x:c>
      <x:c r="L42" s="17" t="str">
        <x:v>증류식</x:v>
      </x:c>
      <x:c r="M42" s="17" t="str">
        <x:v>2026 조사 시점 공공 카탈로그 등재와 제조사·판매 페이지를 대조</x:v>
      </x:c>
      <x:c r="N42" s="17" t="str">
        <x:v>https://thesool.com/front/find/M000000082/view.do?productId=PR00000566</x:v>
      </x:c>
      <x:c r="O42" s="17" t="str">
        <x:v>https://www.instagram.com/tigercalyx/?hl=ko</x:v>
      </x:c>
      <x:c r="P42" s="17" t="str"/>
      <x:c r="Q42" s="17" t="str">
        <x:v>B | 2개 출처 일치</x:v>
      </x:c>
      <x:c r="R42" s="17" t="str">
        <x:v>공식 설립연도 미확인</x:v>
      </x:c>
      <x:c r="S42" s="17" t="str">
        <x:v>권장 로마자 표기 — 등록 전 공식 표기 확인</x:v>
      </x:c>
      <x:c r="T42" s="17" t="str">
        <x:v>등록 가능. 설립연도·공식 영문명은 공개 근거가 없으면 빈칸/권장 표기로 유지</x:v>
      </x:c>
    </x:row>
    <x:row r="43" ht="78" customHeight="1">
      <x:c r="A43" s="17" t="str">
        <x:v>OTHER</x:v>
      </x:c>
      <x:c r="B43" s="17" t="str">
        <x:v>배상면주가</x:v>
      </x:c>
      <x:c r="C43" s="17" t="str">
        <x:v>Baesangmyeonjuga Brewery</x:v>
      </x:c>
      <x:c r="D43" s="17"/>
      <x:c r="E43" s="17" t="str">
        <x:v>https://www.soolsool.co.kr/</x:v>
      </x:c>
      <x:c r="F43" s="17" t="str">
        <x:v>배상면주가, Baesangmyeonjuga Brewery, 느린마을소주21, 감아락 25</x:v>
      </x:c>
      <x:c r="G43" s="17" t="str">
        <x:v>대한민국</x:v>
      </x:c>
      <x:c r="H43" s="17" t="str">
        <x:v>경기도</x:v>
      </x:c>
      <x:c r="I43" s="17" t="str">
        <x:v>배상면주가(Baesangmyeonjuga Brewery)은 경기도에 기반을 둔 대한민국의 증류식 소주 제조사입니다. 공개 자료에서 느린마을소주21·감아락 25의 제조사로 확인됩니다. 공개 제품 설명에는 쌀 등을 원료로 사용하는 내용이 확인됩니다. 2026년 조사 시점에 공공 카탈로그와 별도 제조사·판매 경로를 대조해 제품 활동을 확인했습니다.</x:v>
      </x:c>
      <x:c r="J43" s="17" t="str">
        <x:v>배상면주가 (Baesangmyeonjuga Brewery) is a distilled soju producer based in Gyeonggi-do, South Korea. Public sources identify it as the producer of 느린마을소주21·감아락 25. Published product information refers to ingredients including 쌀. The producer and its soju activity were cross-checked against public and independent producer, sales, or government sources during the 2026 review.</x:v>
      </x:c>
      <x:c r="K43" s="17" t="str">
        <x:v>느린마을소주21, 감아락 25</x:v>
      </x:c>
      <x:c r="L43" s="17" t="str">
        <x:v>증류식</x:v>
      </x:c>
      <x:c r="M43" s="17" t="str">
        <x:v>2026 조사 시점 공공 카탈로그 등재와 제조사·판매 페이지를 대조</x:v>
      </x:c>
      <x:c r="N43" s="17" t="str">
        <x:v>https://thesool.com/front/find/M000000082/view.do?productId=PR00000514</x:v>
      </x:c>
      <x:c r="O43" s="17" t="str">
        <x:v>https://www.soolsool.co.kr/</x:v>
      </x:c>
      <x:c r="P43" s="17" t="str"/>
      <x:c r="Q43" s="17" t="str">
        <x:v>B | 2개 출처 일치</x:v>
      </x:c>
      <x:c r="R43" s="17" t="str">
        <x:v>공식 설립연도 미확인</x:v>
      </x:c>
      <x:c r="S43" s="17" t="str">
        <x:v>권장 로마자 표기 — 등록 전 공식 표기 확인</x:v>
      </x:c>
      <x:c r="T43" s="17" t="str">
        <x:v>등록 가능. 설립연도·공식 영문명은 공개 근거가 없으면 빈칸/권장 표기로 유지</x:v>
      </x:c>
    </x:row>
    <x:row r="44" ht="78" customHeight="1">
      <x:c r="A44" s="17" t="str">
        <x:v>OTHER</x:v>
      </x:c>
      <x:c r="B44" s="17" t="str">
        <x:v>병영양조장</x:v>
      </x:c>
      <x:c r="C44" s="17" t="str">
        <x:v>Byeongyeongyangjojang Brewery</x:v>
      </x:c>
      <x:c r="D44" s="17"/>
      <x:c r="E44" s="17" t="str">
        <x:v>http://www.byjujo.co.kr/</x:v>
      </x:c>
      <x:c r="F44" s="17" t="str">
        <x:v>병영양조장, Byeongyeongyangjojang Brewery, 병영소주</x:v>
      </x:c>
      <x:c r="G44" s="17" t="str">
        <x:v>대한민국</x:v>
      </x:c>
      <x:c r="H44" s="17" t="str">
        <x:v>전라남도</x:v>
      </x:c>
      <x:c r="I44" s="17" t="str">
        <x:v>병영양조장(Byeongyeongyangjojang Brewery)은 전라남도에 기반을 둔 대한민국의 증류식 소주 제조사입니다. 공개 자료에서 병영소주의 제조사로 확인됩니다. 공개 제품 설명에는 보리 등을 원료로 사용하는 내용이 확인됩니다. 2026년 조사 시점에 공공 카탈로그와 별도 제조사·판매 경로를 대조해 제품 활동을 확인했습니다.</x:v>
      </x:c>
      <x:c r="J44" s="17" t="str">
        <x:v>병영양조장 (Byeongyeongyangjojang Brewery) is a distilled soju producer based in Jeollanam-do, South Korea. Public sources identify it as the producer of 병영소주. Published product information refers to ingredients including 보리. The producer and its soju activity were cross-checked against public and independent producer, sales, or government sources during the 2026 review.</x:v>
      </x:c>
      <x:c r="K44" s="17" t="str">
        <x:v>병영소주</x:v>
      </x:c>
      <x:c r="L44" s="17" t="str">
        <x:v>증류식</x:v>
      </x:c>
      <x:c r="M44" s="17" t="str">
        <x:v>2026 조사 시점 공공 카탈로그 등재와 제조사·판매 페이지를 대조</x:v>
      </x:c>
      <x:c r="N44" s="17" t="str">
        <x:v>https://thesool.com/front/find/M000000082/view.do?productId=PR00001136</x:v>
      </x:c>
      <x:c r="O44" s="17" t="str">
        <x:v>http://www.byjujo.co.kr/</x:v>
      </x:c>
      <x:c r="P44" s="17" t="str">
        <x:v>https://i.nts.go.kr/llsc/na/ntt/selectNttList.do?bbsId=22830&amp;mi=1511</x:v>
      </x:c>
      <x:c r="Q44" s="17" t="str">
        <x:v>B | 2개 출처 일치</x:v>
      </x:c>
      <x:c r="R44" s="17" t="str">
        <x:v>공식 설립연도 미확인</x:v>
      </x:c>
      <x:c r="S44" s="17" t="str">
        <x:v>권장 로마자 표기 — 등록 전 공식 표기 확인</x:v>
      </x:c>
      <x:c r="T44" s="17" t="str">
        <x:v>등록 가능. 설립연도·공식 영문명은 공개 근거가 없으면 빈칸/권장 표기로 유지</x:v>
      </x:c>
    </x:row>
    <x:row r="45" ht="78" customHeight="1">
      <x:c r="A45" s="17" t="str">
        <x:v>OTHER</x:v>
      </x:c>
      <x:c r="B45" s="17" t="str">
        <x:v>술도가제주바당</x:v>
      </x:c>
      <x:c r="C45" s="17" t="str">
        <x:v>Suldogajejubadang Brewery</x:v>
      </x:c>
      <x:c r="D45" s="17"/>
      <x:c r="E45" s="17" t="str">
        <x:v>https://jejudoga.modoo.at/</x:v>
      </x:c>
      <x:c r="F45" s="17" t="str">
        <x:v>술도가제주바당, Suldogajejubadang Brewery, 제주낭만</x:v>
      </x:c>
      <x:c r="G45" s="17" t="str">
        <x:v>대한민국</x:v>
      </x:c>
      <x:c r="H45" s="17" t="str">
        <x:v>제주도</x:v>
      </x:c>
      <x:c r="I45" s="17" t="str">
        <x:v>술도가제주바당(Suldogajejubadang Brewery)은 제주도에 기반을 둔 대한민국의 증류식 소주 제조사입니다. 공개 자료에서 제주낭만의 제조사로 확인됩니다. 공개 제품 설명에는 쌀 등을 원료로 사용하는 내용이 확인됩니다. 2026년 조사 시점에 공공 카탈로그와 별도 제조사·판매 경로를 대조해 제품 활동을 확인했습니다.</x:v>
      </x:c>
      <x:c r="J45" s="17" t="str">
        <x:v>술도가제주바당 (Suldogajejubadang Brewery) is a distilled soju producer based in Jeju-do, South Korea. Public sources identify it as the producer of 제주낭만. Published product information refers to ingredients including 쌀. The producer and its soju activity were cross-checked against public and independent producer, sales, or government sources during the 2026 review.</x:v>
      </x:c>
      <x:c r="K45" s="17" t="str">
        <x:v>제주낭만</x:v>
      </x:c>
      <x:c r="L45" s="17" t="str">
        <x:v>증류식</x:v>
      </x:c>
      <x:c r="M45" s="17" t="str">
        <x:v>2026 조사 시점 공공 카탈로그 등재와 제조사·판매 페이지를 대조</x:v>
      </x:c>
      <x:c r="N45" s="17" t="str">
        <x:v>https://thesool.com/front/find/M000000082/view.do?productId=PR00000519</x:v>
      </x:c>
      <x:c r="O45" s="17" t="str">
        <x:v>https://jejudoga.modoo.at/</x:v>
      </x:c>
      <x:c r="P45" s="17" t="str"/>
      <x:c r="Q45" s="17" t="str">
        <x:v>B | 2개 출처 일치</x:v>
      </x:c>
      <x:c r="R45" s="17" t="str">
        <x:v>공식 설립연도 미확인</x:v>
      </x:c>
      <x:c r="S45" s="17" t="str">
        <x:v>권장 로마자 표기 — 등록 전 공식 표기 확인</x:v>
      </x:c>
      <x:c r="T45" s="17" t="str">
        <x:v>등록 가능. 설립연도·공식 영문명은 공개 근거가 없으면 빈칸/권장 표기로 유지</x:v>
      </x:c>
    </x:row>
    <x:row r="46" ht="78" customHeight="1">
      <x:c r="A46" s="17" t="str">
        <x:v>OTHER</x:v>
      </x:c>
      <x:c r="B46" s="17" t="str">
        <x:v>술샘</x:v>
      </x:c>
      <x:c r="C46" s="17" t="str">
        <x:v>Soolseam</x:v>
      </x:c>
      <x:c r="D46" s="17" t="n">
        <x:v>2012</x:v>
      </x:c>
      <x:c r="E46" s="17" t="str">
        <x:v>http://www.sulseam.com/</x:v>
      </x:c>
      <x:c r="F46" s="17" t="str">
        <x:v>술샘, (주)술샘, Soolseam, 미르, 미르25, 미르54</x:v>
      </x:c>
      <x:c r="G46" s="17" t="str">
        <x:v>대한민국</x:v>
      </x:c>
      <x:c r="H46" s="17" t="str">
        <x:v>경기도</x:v>
      </x:c>
      <x:c r="I46" s="17" t="str">
        <x:v>술샘(Soolseam)은 경기도에 기반을 둔 대한민국의 증류식 소주 제조사입니다. 2012년 설립 또는 계승 연혁을 기준으로 하며, 공개 자료에서 미르·미르25·미르54의 제조사로 확인됩니다. 공개 제품 설명에는 쌀·밀·누룩·국 등을 원료로 사용하는 내용이 확인됩니다. 2026년 조사 시점에 공공 카탈로그와 별도 제조사·판매 경로를 대조해 제품 활동을 확인했습니다.</x:v>
      </x:c>
      <x:c r="J46" s="17" t="str">
        <x:v>술샘 (Soolseam) is a distilled soju producer based in Gyeonggi-do, South Korea. Its public history is traced to 2012. Public sources identify it as the producer of 미르·미르25·미르54. Published product information refers to ingredients including 쌀·밀·누룩·국. The producer and its soju activity were cross-checked against public and independent producer, sales, or government sources during the 2026 review.</x:v>
      </x:c>
      <x:c r="K46" s="17" t="str">
        <x:v>미르, 미르25, 미르54</x:v>
      </x:c>
      <x:c r="L46" s="17" t="str">
        <x:v>증류식</x:v>
      </x:c>
      <x:c r="M46" s="17" t="str">
        <x:v>2026 조사 시점 공공 카탈로그 등재와 제조사·판매 페이지를 대조</x:v>
      </x:c>
      <x:c r="N46" s="17" t="str">
        <x:v>https://thesool.com/front/find/M000000082/view.do?productId=PR00000567</x:v>
      </x:c>
      <x:c r="O46" s="17" t="str">
        <x:v>http://www.sulseam.com/</x:v>
      </x:c>
      <x:c r="P46" s="17" t="str">
        <x:v>https://i.nts.go.kr/llsc/na/ntt/selectNttList.do?bbsId=22830&amp;mi=1511</x:v>
      </x:c>
      <x:c r="Q46" s="17" t="str">
        <x:v>B | 2개 출처 일치</x:v>
      </x:c>
      <x:c r="R46" s="17" t="str">
        <x:v>공개 연혁 기준</x:v>
      </x:c>
      <x:c r="S46" s="17" t="str">
        <x:v>공식 또는 널리 쓰이는 영문 표기</x:v>
      </x:c>
      <x:c r="T46" s="17" t="str">
        <x:v>등록 가능. 설립연도·공식 영문명은 공개 근거가 없으면 빈칸/권장 표기로 유지</x:v>
      </x:c>
    </x:row>
    <x:row r="47" ht="78" customHeight="1">
      <x:c r="A47" s="17" t="str">
        <x:v>OTHER</x:v>
      </x:c>
      <x:c r="B47" s="17" t="str">
        <x:v>안동소주일품</x:v>
      </x:c>
      <x:c r="C47" s="17" t="str">
        <x:v>Ilpoom Andong Soju</x:v>
      </x:c>
      <x:c r="D47" s="17"/>
      <x:c r="E47" s="17" t="str">
        <x:v>http://www.ilpoomsoju.com/</x:v>
      </x:c>
      <x:c r="F47" s="17" t="str">
        <x:v>안동소주일품, Ilpoom Andong Soju, 안동소주 일품 17도, 안동소주 일품 21도</x:v>
      </x:c>
      <x:c r="G47" s="17" t="str">
        <x:v>대한민국</x:v>
      </x:c>
      <x:c r="H47" s="17" t="str">
        <x:v>경상북도</x:v>
      </x:c>
      <x:c r="I47" s="17" t="str">
        <x:v>안동소주일품(Ilpoom Andong Soju)은 경상북도에 기반을 둔 대한민국의 증류식 소주 제조사입니다. 공개 자료에서 안동소주 일품 17도·안동소주 일품 21도의 제조사로 확인됩니다. 공개 제품 설명에는 쌀 등을 원료로 사용하는 내용이 확인됩니다. 2026년 조사 시점에 공공 카탈로그와 별도 제조사·판매 경로를 대조해 제품 활동을 확인했습니다.</x:v>
      </x:c>
      <x:c r="J47" s="17" t="str">
        <x:v>안동소주일품 (Ilpoom Andong Soju) is a distilled soju producer based in Gyeongsangbuk-do, South Korea. Public sources identify it as the producer of 안동소주 일품 17도·안동소주 일품 21도. Published product information refers to ingredients including 쌀. The producer and its soju activity were cross-checked against public and independent producer, sales, or government sources during the 2026 review.</x:v>
      </x:c>
      <x:c r="K47" s="17" t="str">
        <x:v>안동소주 일품 17도, 안동소주 일품 21도</x:v>
      </x:c>
      <x:c r="L47" s="17" t="str">
        <x:v>증류식</x:v>
      </x:c>
      <x:c r="M47" s="17" t="str">
        <x:v>2026 조사 시점 공공 카탈로그 등재와 제조사·판매 페이지를 대조</x:v>
      </x:c>
      <x:c r="N47" s="17" t="str">
        <x:v>https://thesool.com/front/find/M000000082/view.do?productId=PR00000483</x:v>
      </x:c>
      <x:c r="O47" s="17" t="str">
        <x:v>http://www.ilpoomsoju.com/</x:v>
      </x:c>
      <x:c r="P47" s="17" t="str"/>
      <x:c r="Q47" s="17" t="str">
        <x:v>B | 2개 출처 일치</x:v>
      </x:c>
      <x:c r="R47" s="17" t="str">
        <x:v>공식 설립연도 미확인</x:v>
      </x:c>
      <x:c r="S47" s="17" t="str">
        <x:v>공식 또는 널리 쓰이는 영문 표기</x:v>
      </x:c>
      <x:c r="T47" s="17" t="str">
        <x:v>등록 가능. 설립연도·공식 영문명은 공개 근거가 없으면 빈칸/권장 표기로 유지</x:v>
      </x:c>
    </x:row>
    <x:row r="48" ht="78" customHeight="1">
      <x:c r="A48" s="17" t="str">
        <x:v>OTHER</x:v>
      </x:c>
      <x:c r="B48" s="17" t="str">
        <x:v>안동전통명주㈜</x:v>
      </x:c>
      <x:c r="C48" s="17" t="str">
        <x:v>Andongjeontongmyeongju Brewery</x:v>
      </x:c>
      <x:c r="D48" s="17"/>
      <x:c r="E48" s="17" t="str">
        <x:v>https://smartstore.naver.com/andongmyongju/products/3458697714</x:v>
      </x:c>
      <x:c r="F48" s="17" t="str">
        <x:v>명품 안동소주, 안동전통명주(주), 안동전통명주㈜, Andongjeontongmyeongju Brewery, 느낌 30, 필, 느낌</x:v>
      </x:c>
      <x:c r="G48" s="17" t="str">
        <x:v>대한민국</x:v>
      </x:c>
      <x:c r="H48" s="17" t="str">
        <x:v>경상북도</x:v>
      </x:c>
      <x:c r="I48" s="17" t="str">
        <x:v>안동전통명주㈜(Andongjeontongmyeongju Brewery)은 경상북도에 기반을 둔 대한민국의 증류식 소주 제조사입니다. 공개 자료에서 느낌 30·필·느낌의 제조사로 확인됩니다. 공개 제품 설명에는 쌀·누룩·국 등을 원료로 사용하는 내용이 확인됩니다. 2026년 조사 시점에 공공 카탈로그와 별도 제조사·판매 경로를 대조해 제품 활동을 확인했습니다.</x:v>
      </x:c>
      <x:c r="J48" s="17" t="str">
        <x:v>안동전통명주㈜ (Andongjeontongmyeongju Brewery) is a distilled soju producer based in Gyeongsangbuk-do, South Korea. Public sources identify it as the producer of 느낌 30·필·느낌. Published product information refers to ingredients including 쌀·누룩·국. The producer and its soju activity were cross-checked against public and independent producer, sales, or government sources during the 2026 review.</x:v>
      </x:c>
      <x:c r="K48" s="17" t="str">
        <x:v>느낌 30, 필, 느낌</x:v>
      </x:c>
      <x:c r="L48" s="17" t="str">
        <x:v>증류식</x:v>
      </x:c>
      <x:c r="M48" s="17" t="str">
        <x:v>2026 조사 시점 공공 카탈로그 등재와 제조사·판매 페이지를 대조</x:v>
      </x:c>
      <x:c r="N48" s="17" t="str">
        <x:v>https://thesool.com/front/find/M000000082/view.do?productId=PR00000501</x:v>
      </x:c>
      <x:c r="O48" s="17" t="str">
        <x:v>https://smartstore.naver.com/andongmyongju/products/3458697714</x:v>
      </x:c>
      <x:c r="P48" s="17" t="str">
        <x:v>https://i.nts.go.kr/llsc/na/ntt/selectNttList.do?bbsId=22830&amp;mi=1511</x:v>
      </x:c>
      <x:c r="Q48" s="17" t="str">
        <x:v>B | 2개 출처 일치</x:v>
      </x:c>
      <x:c r="R48" s="17" t="str">
        <x:v>공식 설립연도 미확인</x:v>
      </x:c>
      <x:c r="S48" s="17" t="str">
        <x:v>권장 로마자 표기 — 등록 전 공식 표기 확인</x:v>
      </x:c>
      <x:c r="T48" s="17" t="str">
        <x:v>등록 가능. 설립연도·공식 영문명은 공개 근거가 없으면 빈칸/권장 표기로 유지</x:v>
      </x:c>
    </x:row>
    <x:row r="49" ht="78" customHeight="1">
      <x:c r="A49" s="17" t="str">
        <x:v>OTHER</x:v>
      </x:c>
      <x:c r="B49" s="17" t="str">
        <x:v>양반안동소주</x:v>
      </x:c>
      <x:c r="C49" s="17" t="str">
        <x:v>Yangban Andong Soju</x:v>
      </x:c>
      <x:c r="D49" s="17"/>
      <x:c r="E49" s="17" t="str">
        <x:v>https://www.sojumall.com/htm/main.htm</x:v>
      </x:c>
      <x:c r="F49" s="17" t="str">
        <x:v>양반안동소주, Yangban Andong Soju, 양반안동소주 3년산 호리병</x:v>
      </x:c>
      <x:c r="G49" s="17" t="str">
        <x:v>대한민국</x:v>
      </x:c>
      <x:c r="H49" s="17" t="str">
        <x:v>경상북도</x:v>
      </x:c>
      <x:c r="I49" s="17" t="str">
        <x:v>양반안동소주(Yangban Andong Soju)은 경상북도에 기반을 둔 대한민국의 증류식 소주 제조사입니다. 공개 자료에서 양반안동소주 3년산 호리병의 제조사로 확인됩니다. 공개 제품 설명에는 쌀 등을 원료로 사용하는 내용이 확인됩니다. 2026년 조사 시점에 공공 카탈로그와 별도 제조사·판매 경로를 대조해 제품 활동을 확인했습니다.</x:v>
      </x:c>
      <x:c r="J49" s="17" t="str">
        <x:v>양반안동소주 (Yangban Andong Soju) is a distilled soju producer based in Gyeongsangbuk-do, South Korea. Public sources identify it as the producer of 양반안동소주 3년산 호리병. Published product information refers to ingredients including 쌀. The producer and its soju activity were cross-checked against public and independent producer, sales, or government sources during the 2026 review.</x:v>
      </x:c>
      <x:c r="K49" s="17" t="str">
        <x:v>양반안동소주 3년산 호리병</x:v>
      </x:c>
      <x:c r="L49" s="17" t="str">
        <x:v>증류식</x:v>
      </x:c>
      <x:c r="M49" s="17" t="str">
        <x:v>2026 조사 시점 공공 카탈로그 등재와 제조사·판매 페이지를 대조</x:v>
      </x:c>
      <x:c r="N49" s="17" t="str">
        <x:v>https://thesool.com/front/find/M000000082/view.do?productId=PR00001130</x:v>
      </x:c>
      <x:c r="O49" s="17" t="str">
        <x:v>https://www.sojumall.com/htm/main.htm</x:v>
      </x:c>
      <x:c r="P49" s="17" t="str"/>
      <x:c r="Q49" s="17" t="str">
        <x:v>B | 2개 출처 일치</x:v>
      </x:c>
      <x:c r="R49" s="17" t="str">
        <x:v>공식 설립연도 미확인</x:v>
      </x:c>
      <x:c r="S49" s="17" t="str">
        <x:v>공식 또는 널리 쓰이는 영문 표기</x:v>
      </x:c>
      <x:c r="T49" s="17" t="str">
        <x:v>등록 가능. 설립연도·공식 영문명은 공개 근거가 없으면 빈칸/권장 표기로 유지</x:v>
      </x:c>
    </x:row>
    <x:row r="50" ht="78" customHeight="1">
      <x:c r="A50" s="17" t="str">
        <x:v>OTHER</x:v>
      </x:c>
      <x:c r="B50" s="17" t="str">
        <x:v>오산양조</x:v>
      </x:c>
      <x:c r="C50" s="17" t="str">
        <x:v>Osanyangjo Brewery</x:v>
      </x:c>
      <x:c r="D50" s="17"/>
      <x:c r="E50" s="17" t="str">
        <x:v>https://www.osansool.com/</x:v>
      </x:c>
      <x:c r="F50" s="17" t="str">
        <x:v>오산양조, Osanyangjo Brewery, 독산 53, 독산 30</x:v>
      </x:c>
      <x:c r="G50" s="17" t="str">
        <x:v>대한민국</x:v>
      </x:c>
      <x:c r="H50" s="17" t="str">
        <x:v>경기도</x:v>
      </x:c>
      <x:c r="I50" s="17" t="str">
        <x:v>오산양조(Osanyangjo Brewery)은 경기도에 기반을 둔 대한민국의 증류식 소주 제조사입니다. 공개 자료에서 독산 53·독산 30의 제조사로 확인됩니다. 공개 제품 설명에는 쌀·누룩·국 등을 원료로 사용하는 내용이 확인됩니다. 2026년 조사 시점에 공공 카탈로그와 별도 제조사·판매 경로를 대조해 제품 활동을 확인했습니다.</x:v>
      </x:c>
      <x:c r="J50" s="17" t="str">
        <x:v>오산양조 (Osanyangjo Brewery) is a distilled soju producer based in Gyeonggi-do, South Korea. Public sources identify it as the producer of 독산 53·독산 30. Published product information refers to ingredients including 쌀·누룩·국. The producer and its soju activity were cross-checked against public and independent producer, sales, or government sources during the 2026 review.</x:v>
      </x:c>
      <x:c r="K50" s="17" t="str">
        <x:v>독산 53, 독산 30</x:v>
      </x:c>
      <x:c r="L50" s="17" t="str">
        <x:v>증류식</x:v>
      </x:c>
      <x:c r="M50" s="17" t="str">
        <x:v>2026 조사 시점 공공 카탈로그 등재와 제조사·판매 페이지를 대조</x:v>
      </x:c>
      <x:c r="N50" s="17" t="str">
        <x:v>https://thesool.com/front/find/M000000082/view.do?productId=PR00000499</x:v>
      </x:c>
      <x:c r="O50" s="17" t="str">
        <x:v>https://www.osansool.com/</x:v>
      </x:c>
      <x:c r="P50" s="17" t="str"/>
      <x:c r="Q50" s="17" t="str">
        <x:v>B | 2개 출처 일치</x:v>
      </x:c>
      <x:c r="R50" s="17" t="str">
        <x:v>공식 설립연도 미확인</x:v>
      </x:c>
      <x:c r="S50" s="17" t="str">
        <x:v>권장 로마자 표기 — 등록 전 공식 표기 확인</x:v>
      </x:c>
      <x:c r="T50" s="17" t="str">
        <x:v>등록 가능. 설립연도·공식 영문명은 공개 근거가 없으면 빈칸/권장 표기로 유지</x:v>
      </x:c>
    </x:row>
    <x:row r="51" ht="78" customHeight="1">
      <x:c r="A51" s="17" t="str">
        <x:v>OTHER</x:v>
      </x:c>
      <x:c r="B51" s="17" t="str">
        <x:v>옥순가 소곡주 마주</x:v>
      </x:c>
      <x:c r="C51" s="17" t="str">
        <x:v>Oksunga Sogokju Maju Brewery</x:v>
      </x:c>
      <x:c r="D51" s="17"/>
      <x:c r="E51" s="17" t="str">
        <x:v>https://smartstore.naver.com/oksoonga/products/4780697995</x:v>
      </x:c>
      <x:c r="F51" s="17" t="str">
        <x:v>옥순가 소곡주 마주, Oksunga Sogokju Maju Brewery, 마주 소곡화주</x:v>
      </x:c>
      <x:c r="G51" s="17" t="str">
        <x:v>대한민국</x:v>
      </x:c>
      <x:c r="H51" s="17" t="str">
        <x:v>충청남도</x:v>
      </x:c>
      <x:c r="I51" s="17" t="str">
        <x:v>옥순가 소곡주 마주(Oksunga Sogokju Maju Brewery)은 충청남도에 기반을 둔 대한민국의 증류식 소주 제조사입니다. 공개 자료에서 마주 소곡화주의 제조사로 확인됩니다. 공개 제품 설명에는 쌀·밀·누룩·국 등을 원료로 사용하는 내용이 확인됩니다. 2026년 조사 시점에 공공 카탈로그와 별도 제조사·판매 경로를 대조해 제품 활동을 확인했습니다.</x:v>
      </x:c>
      <x:c r="J51" s="17" t="str">
        <x:v>옥순가 소곡주 마주 (Oksunga Sogokju Maju Brewery) is a distilled soju producer based in Chungcheongnam-do, South Korea. Public sources identify it as the producer of 마주 소곡화주. Published product information refers to ingredients including 쌀·밀·누룩·국. The producer and its soju activity were cross-checked against public and independent producer, sales, or government sources during the 2026 review.</x:v>
      </x:c>
      <x:c r="K51" s="17" t="str">
        <x:v>마주 소곡화주</x:v>
      </x:c>
      <x:c r="L51" s="17" t="str">
        <x:v>증류식</x:v>
      </x:c>
      <x:c r="M51" s="17" t="str">
        <x:v>2026 조사 시점 공공 카탈로그 등재와 제조사·판매 페이지를 대조</x:v>
      </x:c>
      <x:c r="N51" s="17" t="str">
        <x:v>https://thesool.com/front/find/M000000082/view.do?productId=PR00000497</x:v>
      </x:c>
      <x:c r="O51" s="17" t="str">
        <x:v>https://smartstore.naver.com/oksoonga/products/4780697995</x:v>
      </x:c>
      <x:c r="P51" s="17" t="str"/>
      <x:c r="Q51" s="17" t="str">
        <x:v>B | 2개 출처 일치</x:v>
      </x:c>
      <x:c r="R51" s="17" t="str">
        <x:v>공식 설립연도 미확인</x:v>
      </x:c>
      <x:c r="S51" s="17" t="str">
        <x:v>권장 로마자 표기 — 등록 전 공식 표기 확인</x:v>
      </x:c>
      <x:c r="T51" s="17" t="str">
        <x:v>등록 가능. 설립연도·공식 영문명은 공개 근거가 없으면 빈칸/권장 표기로 유지</x:v>
      </x:c>
    </x:row>
    <x:row r="52" ht="78" customHeight="1">
      <x:c r="A52" s="17" t="str">
        <x:v>OTHER</x:v>
      </x:c>
      <x:c r="B52" s="17" t="str">
        <x:v>우리도가</x:v>
      </x:c>
      <x:c r="C52" s="17" t="str">
        <x:v>Uridoga Brewery</x:v>
      </x:c>
      <x:c r="D52" s="17"/>
      <x:c r="E52" s="17" t="str">
        <x:v>https://smartstore.naver.com/wooridoga/products/6611468981</x:v>
      </x:c>
      <x:c r="F52" s="17" t="str">
        <x:v>우리도가, Uridoga Brewery, 가평소주</x:v>
      </x:c>
      <x:c r="G52" s="17" t="str">
        <x:v>대한민국</x:v>
      </x:c>
      <x:c r="H52" s="17" t="str">
        <x:v>경기도</x:v>
      </x:c>
      <x:c r="I52" s="17" t="str">
        <x:v>우리도가(Uridoga Brewery)은 경기도에 기반을 둔 대한민국의 증류식 소주 제조사입니다. 공개 자료에서 가평소주의 제조사로 확인됩니다. 공개 제품 설명에는 쌀 등을 원료로 사용하는 내용이 확인됩니다. 2026년 조사 시점에 공공 카탈로그와 별도 제조사·판매 경로를 대조해 제품 활동을 확인했습니다.</x:v>
      </x:c>
      <x:c r="J52" s="17" t="str">
        <x:v>우리도가 (Uridoga Brewery) is a distilled soju producer based in Gyeonggi-do, South Korea. Public sources identify it as the producer of 가평소주. Published product information refers to ingredients including 쌀. The producer and its soju activity were cross-checked against public and independent producer, sales, or government sources during the 2026 review.</x:v>
      </x:c>
      <x:c r="K52" s="17" t="str">
        <x:v>가평소주</x:v>
      </x:c>
      <x:c r="L52" s="17" t="str">
        <x:v>증류식</x:v>
      </x:c>
      <x:c r="M52" s="17" t="str">
        <x:v>2026 조사 시점 공공 카탈로그 등재와 제조사·판매 페이지를 대조</x:v>
      </x:c>
      <x:c r="N52" s="17" t="str">
        <x:v>https://thesool.com/front/find/M000000082/view.do?productId=PR00001390</x:v>
      </x:c>
      <x:c r="O52" s="17" t="str">
        <x:v>https://smartstore.naver.com/wooridoga/products/6611468981</x:v>
      </x:c>
      <x:c r="P52" s="17" t="str"/>
      <x:c r="Q52" s="17" t="str">
        <x:v>B | 2개 출처 일치</x:v>
      </x:c>
      <x:c r="R52" s="17" t="str">
        <x:v>공식 설립연도 미확인</x:v>
      </x:c>
      <x:c r="S52" s="17" t="str">
        <x:v>권장 로마자 표기 — 등록 전 공식 표기 확인</x:v>
      </x:c>
      <x:c r="T52" s="17" t="str">
        <x:v>등록 가능. 설립연도·공식 영문명은 공개 근거가 없으면 빈칸/권장 표기로 유지</x:v>
      </x:c>
    </x:row>
    <x:row r="53" ht="78" customHeight="1">
      <x:c r="A53" s="17" t="str">
        <x:v>OTHER</x:v>
      </x:c>
      <x:c r="B53" s="17" t="str">
        <x:v>원스피리츠 농업법인 주식회사</x:v>
      </x:c>
      <x:c r="C53" s="17" t="str">
        <x:v>Won Spirits Agricultural Corporation</x:v>
      </x:c>
      <x:c r="D53" s="17"/>
      <x:c r="E53" s="17" t="str">
        <x:v>https://wonsoju.com/</x:v>
      </x:c>
      <x:c r="F53" s="17" t="str">
        <x:v>원스피리츠 농업법인 주식회사, Won Spirits Agricultural Corporation, 원소주</x:v>
      </x:c>
      <x:c r="G53" s="17" t="str">
        <x:v>대한민국</x:v>
      </x:c>
      <x:c r="H53" s="17" t="str">
        <x:v>강원도</x:v>
      </x:c>
      <x:c r="I53" s="17" t="str">
        <x:v>원스피리츠 농업법인 주식회사(Won Spirits Agricultural Corporation)은 강원도에 기반을 둔 대한민국의 증류식 소주 제조사입니다. 공개 자료에서 원소주의 제조사로 확인됩니다. 공개 제품 설명에는 쌀 등을 원료로 사용하는 내용이 확인됩니다. 2026년 조사 시점에 공공 카탈로그와 별도 제조사·판매 경로를 대조해 제품 활동을 확인했습니다.</x:v>
      </x:c>
      <x:c r="J53" s="17" t="str">
        <x:v>원스피리츠 농업법인 주식회사 (Won Spirits Agricultural Corporation) is a distilled soju producer based in Gangwon-do, South Korea. Public sources identify it as the producer of 원소주. Published product information refers to ingredients including 쌀. The producer and its soju activity were cross-checked against public and independent producer, sales, or government sources during the 2026 review.</x:v>
      </x:c>
      <x:c r="K53" s="17" t="str">
        <x:v>원소주</x:v>
      </x:c>
      <x:c r="L53" s="17" t="str">
        <x:v>증류식</x:v>
      </x:c>
      <x:c r="M53" s="17" t="str">
        <x:v>2026 조사 시점 공공 카탈로그 등재와 제조사·판매 페이지를 대조</x:v>
      </x:c>
      <x:c r="N53" s="17" t="str">
        <x:v>https://thesool.com/front/find/M000000082/view.do?productId=PR00000827</x:v>
      </x:c>
      <x:c r="O53" s="17" t="str">
        <x:v>https://wonsoju.com/</x:v>
      </x:c>
      <x:c r="P53" s="17" t="str"/>
      <x:c r="Q53" s="17" t="str">
        <x:v>B | 2개 출처 일치</x:v>
      </x:c>
      <x:c r="R53" s="17" t="str">
        <x:v>공식 설립연도 미확인</x:v>
      </x:c>
      <x:c r="S53" s="17" t="str">
        <x:v>공식 또는 널리 쓰이는 영문 표기</x:v>
      </x:c>
      <x:c r="T53" s="17" t="str">
        <x:v>등록 가능. 설립연도·공식 영문명은 공개 근거가 없으면 빈칸/권장 표기로 유지</x:v>
      </x:c>
    </x:row>
    <x:row r="54" ht="78" customHeight="1">
      <x:c r="A54" s="17" t="str">
        <x:v>OTHER</x:v>
      </x:c>
      <x:c r="B54" s="17" t="str">
        <x:v>원조소곡주</x:v>
      </x:c>
      <x:c r="C54" s="17" t="str">
        <x:v>Wonjosogokju Brewery</x:v>
      </x:c>
      <x:c r="D54" s="17"/>
      <x:c r="E54" s="17" t="str">
        <x:v>http://www.xn--399ay50bszdtxbcu.com/</x:v>
      </x:c>
      <x:c r="F54" s="17" t="str">
        <x:v>원조소곡주, Wonjosogokju Brewery, 한산 소곡화주</x:v>
      </x:c>
      <x:c r="G54" s="17" t="str">
        <x:v>대한민국</x:v>
      </x:c>
      <x:c r="H54" s="17" t="str">
        <x:v>충청남도</x:v>
      </x:c>
      <x:c r="I54" s="17" t="str">
        <x:v>원조소곡주(Wonjosogokju Brewery)은 충청남도에 기반을 둔 대한민국의 증류식 소주 제조사입니다. 공개 자료에서 한산 소곡화주의 제조사로 확인됩니다. 공개 제품 설명에는 쌀·누룩·국 등을 원료로 사용하는 내용이 확인됩니다. 2026년 조사 시점에 공공 카탈로그와 별도 제조사·판매 경로를 대조해 제품 활동을 확인했습니다.</x:v>
      </x:c>
      <x:c r="J54" s="17" t="str">
        <x:v>원조소곡주 (Wonjosogokju Brewery) is a distilled soju producer based in Chungcheongnam-do, South Korea. Public sources identify it as the producer of 한산 소곡화주. Published product information refers to ingredients including 쌀·누룩·국. The producer and its soju activity were cross-checked against public and independent producer, sales, or government sources during the 2026 review.</x:v>
      </x:c>
      <x:c r="K54" s="17" t="str">
        <x:v>한산 소곡화주</x:v>
      </x:c>
      <x:c r="L54" s="17" t="str">
        <x:v>증류식</x:v>
      </x:c>
      <x:c r="M54" s="17" t="str">
        <x:v>2026 조사 시점 공공 카탈로그 등재와 제조사·판매 페이지를 대조</x:v>
      </x:c>
      <x:c r="N54" s="17" t="str">
        <x:v>https://thesool.com/front/find/M000000082/view.do?productId=PR00000472</x:v>
      </x:c>
      <x:c r="O54" s="17" t="str">
        <x:v>http://www.xn--399ay50bszdtxbcu.com/</x:v>
      </x:c>
      <x:c r="P54" s="17" t="str"/>
      <x:c r="Q54" s="17" t="str">
        <x:v>B | 2개 출처 일치</x:v>
      </x:c>
      <x:c r="R54" s="17" t="str">
        <x:v>공식 설립연도 미확인</x:v>
      </x:c>
      <x:c r="S54" s="17" t="str">
        <x:v>권장 로마자 표기 — 등록 전 공식 표기 확인</x:v>
      </x:c>
      <x:c r="T54" s="17" t="str">
        <x:v>등록 가능. 설립연도·공식 영문명은 공개 근거가 없으면 빈칸/권장 표기로 유지</x:v>
      </x:c>
    </x:row>
    <x:row r="55" ht="78" customHeight="1">
      <x:c r="A55" s="17" t="str">
        <x:v>OTHER</x:v>
      </x:c>
      <x:c r="B55" s="17" t="str">
        <x:v>월광주조</x:v>
      </x:c>
      <x:c r="C55" s="17" t="str">
        <x:v>Wolgwangjujo Brewery</x:v>
      </x:c>
      <x:c r="D55" s="17"/>
      <x:c r="E55" s="17" t="str">
        <x:v>https://smartstore.naver.com/wgwgwg</x:v>
      </x:c>
      <x:c r="F55" s="17" t="str">
        <x:v>월광주조, Wolgwangjujo Brewery, 월광주 42</x:v>
      </x:c>
      <x:c r="G55" s="17" t="str">
        <x:v>대한민국</x:v>
      </x:c>
      <x:c r="H55" s="17" t="str">
        <x:v>광주</x:v>
      </x:c>
      <x:c r="I55" s="17" t="str">
        <x:v>월광주조(Wolgwangjujo Brewery)은 광주에 기반을 둔 대한민국의 증류식 소주 제조사입니다. 공개 자료에서 월광주 42의 제조사로 확인됩니다. 공개 제품 설명에는 쌀·누룩·국 등을 원료로 사용하는 내용이 확인됩니다. 2026년 조사 시점에 공공 카탈로그와 별도 제조사·판매 경로를 대조해 제품 활동을 확인했습니다.</x:v>
      </x:c>
      <x:c r="J55" s="17" t="str">
        <x:v>월광주조 (Wolgwangjujo Brewery) is a distilled soju producer based in Gwangju, South Korea. Public sources identify it as the producer of 월광주 42. Published product information refers to ingredients including 쌀·누룩·국. The producer and its soju activity were cross-checked against public and independent producer, sales, or government sources during the 2026 review.</x:v>
      </x:c>
      <x:c r="K55" s="17" t="str">
        <x:v>월광주 42</x:v>
      </x:c>
      <x:c r="L55" s="17" t="str">
        <x:v>증류식</x:v>
      </x:c>
      <x:c r="M55" s="17" t="str">
        <x:v>2026 조사 시점 공공 카탈로그 등재와 제조사·판매 페이지를 대조</x:v>
      </x:c>
      <x:c r="N55" s="17" t="str">
        <x:v>https://thesool.com/front/find/M000000082/view.do?productId=PR00001099</x:v>
      </x:c>
      <x:c r="O55" s="17" t="str">
        <x:v>https://smartstore.naver.com/wgwgwg</x:v>
      </x:c>
      <x:c r="P55" s="17" t="str"/>
      <x:c r="Q55" s="17" t="str">
        <x:v>B | 2개 출처 일치</x:v>
      </x:c>
      <x:c r="R55" s="17" t="str">
        <x:v>공식 설립연도 미확인</x:v>
      </x:c>
      <x:c r="S55" s="17" t="str">
        <x:v>권장 로마자 표기 — 등록 전 공식 표기 확인</x:v>
      </x:c>
      <x:c r="T55" s="17" t="str">
        <x:v>등록 가능. 설립연도·공식 영문명은 공개 근거가 없으면 빈칸/권장 표기로 유지</x:v>
      </x:c>
    </x:row>
    <x:row r="56" ht="78" customHeight="1">
      <x:c r="A56" s="17" t="str">
        <x:v>OTHER</x:v>
      </x:c>
      <x:c r="B56" s="17" t="str">
        <x:v>유토피아㈜</x:v>
      </x:c>
      <x:c r="C56" s="17" t="str">
        <x:v>Yutopia Brewery</x:v>
      </x:c>
      <x:c r="D56" s="17"/>
      <x:c r="E56" s="17" t="str">
        <x:v>http://www.sojumall.com/</x:v>
      </x:c>
      <x:c r="F56" s="17" t="str">
        <x:v>(농)유토피아㈜, 유토피아(주), 유토피아㈜, Yutopia Brewery, 로얄 안동소주, 양반안동소주, 양식주</x:v>
      </x:c>
      <x:c r="G56" s="17" t="str">
        <x:v>대한민국</x:v>
      </x:c>
      <x:c r="H56" s="17" t="str">
        <x:v>경상북도</x:v>
      </x:c>
      <x:c r="I56" s="17" t="str">
        <x:v>유토피아㈜(Yutopia Brewery)은 경상북도에 기반을 둔 대한민국의 증류식 소주 제조사입니다. 공개 자료에서 로얄 안동소주·양반안동소주·양식주의 제조사로 확인됩니다. 공개 제품 설명에는 쌀 등을 원료로 사용하는 내용이 확인됩니다. 2026년 조사 시점에 공공 카탈로그와 별도 제조사·판매 경로를 대조해 제품 활동을 확인했습니다.</x:v>
      </x:c>
      <x:c r="J56" s="17" t="str">
        <x:v>유토피아㈜ (Yutopia Brewery) is a distilled soju producer based in Gyeongsangbuk-do, South Korea. Public sources identify it as the producer of 로얄 안동소주·양반안동소주·양식주. Published product information refers to ingredients including 쌀. The producer and its soju activity were cross-checked against public and independent producer, sales, or government sources during the 2026 review.</x:v>
      </x:c>
      <x:c r="K56" s="17" t="str">
        <x:v>로얄 안동소주, 양반안동소주, 양식주</x:v>
      </x:c>
      <x:c r="L56" s="17" t="str">
        <x:v>증류식</x:v>
      </x:c>
      <x:c r="M56" s="17" t="str">
        <x:v>2026 조사 시점 공공 카탈로그 등재와 제조사·판매 페이지를 대조</x:v>
      </x:c>
      <x:c r="N56" s="17" t="str">
        <x:v>https://thesool.com/front/find/M000000082/view.do?productId=PR00000576</x:v>
      </x:c>
      <x:c r="O56" s="17" t="str">
        <x:v>http://www.sojumall.com/</x:v>
      </x:c>
      <x:c r="P56" s="17" t="str">
        <x:v>https://i.nts.go.kr/llsc/na/ntt/selectNttList.do?bbsId=22830&amp;mi=1511</x:v>
      </x:c>
      <x:c r="Q56" s="17" t="str">
        <x:v>B | 2개 출처 일치</x:v>
      </x:c>
      <x:c r="R56" s="17" t="str">
        <x:v>공식 설립연도 미확인</x:v>
      </x:c>
      <x:c r="S56" s="17" t="str">
        <x:v>권장 로마자 표기 — 등록 전 공식 표기 확인</x:v>
      </x:c>
      <x:c r="T56" s="17" t="str">
        <x:v>등록 가능. 설립연도·공식 영문명은 공개 근거가 없으면 빈칸/권장 표기로 유지</x:v>
      </x:c>
    </x:row>
    <x:row r="57" ht="78" customHeight="1">
      <x:c r="A57" s="17" t="str">
        <x:v>OTHER</x:v>
      </x:c>
      <x:c r="B57" s="17" t="str">
        <x:v>제이앤제이 브루어리㈜</x:v>
      </x:c>
      <x:c r="C57" s="17" t="str">
        <x:v>J&amp;J Brewery Ltd.</x:v>
      </x:c>
      <x:c r="D57" s="17"/>
      <x:c r="E57" s="17" t="str"/>
      <x:c r="F57" s="17" t="str">
        <x:v>J&amp;J Brewery, 청혼레드25, 청혼 Red, 제이앤제이 브루어리㈜, J&amp;J Brewery Ltd., 청혼 Red 25</x:v>
      </x:c>
      <x:c r="G57" s="17" t="str">
        <x:v>대한민국</x:v>
      </x:c>
      <x:c r="H57" s="17" t="str"/>
      <x:c r="I57" s="17" t="str">
        <x:v>제이앤제이 브루어리㈜(J&amp;J Brewery Ltd.)은 대한민국에서 운영되는 대한민국의 증류식 소주 제조사입니다. 공개 자료에서 청혼 Red 25의 제조사로 확인됩니다. 2026년 조사 시점에 공공 카탈로그와 별도 제조사·판매 경로를 대조해 제품 활동을 확인했습니다.</x:v>
      </x:c>
      <x:c r="J57" s="17" t="str">
        <x:v>제이앤제이 브루어리㈜ (J&amp;J Brewery Ltd.) is a distilled soju producer operating in South Korea. Public sources identify it as the producer of 청혼 Red 25. The producer and its soju activity were cross-checked against public and independent producer, sales, or government sources during the 2026 review.</x:v>
      </x:c>
      <x:c r="K57" s="17" t="str">
        <x:v>청혼 Red 25</x:v>
      </x:c>
      <x:c r="L57" s="17" t="str">
        <x:v>증류식</x:v>
      </x:c>
      <x:c r="M57" s="17" t="str">
        <x:v>더술닷컴이 증류식 소주로 명시하고 국세청 제품 목록과 제조사를 교차 확인</x:v>
      </x:c>
      <x:c r="N57" s="17" t="str">
        <x:v>https://thesool.com/front/publication/M000000078/view.do?bbsId=A000000049&amp;publicationId=C000002774</x:v>
      </x:c>
      <x:c r="O57" s="17" t="str">
        <x:v>https://i.nts.go.kr/llsc/na/ntt/selectNttList.do?bbsId=22830&amp;mi=1511</x:v>
      </x:c>
      <x:c r="P57" s="17" t="str">
        <x:v>https://thesool.com/front/find/M000000086/list.do?kind=CD00000144</x:v>
      </x:c>
      <x:c r="Q57" s="17" t="str">
        <x:v>B | 2개 출처 일치</x:v>
      </x:c>
      <x:c r="R57" s="17" t="str">
        <x:v>공식 설립연도 미확인</x:v>
      </x:c>
      <x:c r="S57" s="17" t="str">
        <x:v>공식 또는 널리 쓰이는 영문 표기</x:v>
      </x:c>
      <x:c r="T57" s="17" t="str">
        <x:v>더술닷컴이 증류식 소주로 명시하고 국세청 제품 목록과 제조사를 교차 확인</x:v>
      </x:c>
    </x:row>
    <x:row r="58" ht="78" customHeight="1">
      <x:c r="A58" s="17" t="str">
        <x:v>OTHER</x:v>
      </x:c>
      <x:c r="B58" s="17" t="str">
        <x:v>제주고소리술익는집</x:v>
      </x:c>
      <x:c r="C58" s="17" t="str">
        <x:v>Jeju Gosorisul Ikneunjip</x:v>
      </x:c>
      <x:c r="D58" s="17"/>
      <x:c r="E58" s="17" t="str">
        <x:v>http://jejugosorisul.com/</x:v>
      </x:c>
      <x:c r="F58" s="17" t="str">
        <x:v>제주고소리술익는집, Jeju Gosorisul Ikneunjip, 제주술익는집 고소리술, 제주고소리술</x:v>
      </x:c>
      <x:c r="G58" s="17" t="str">
        <x:v>대한민국</x:v>
      </x:c>
      <x:c r="H58" s="17" t="str">
        <x:v>제주도</x:v>
      </x:c>
      <x:c r="I58" s="17" t="str">
        <x:v>제주고소리술익는집(Jeju Gosorisul Ikneunjip)은 제주도에 기반을 둔 대한민국의 증류식 소주 제조사입니다. 공개 자료에서 제주술익는집 고소리술·제주고소리술의 제조사로 확인됩니다. 공개 제품 설명에는 누룩·국 등을 원료로 사용하는 내용이 확인됩니다. 2026년 조사 시점에 공공 카탈로그와 별도 제조사·판매 경로를 대조해 제품 활동을 확인했습니다.</x:v>
      </x:c>
      <x:c r="J58" s="17" t="str">
        <x:v>제주고소리술익는집 (Jeju Gosorisul Ikneunjip) is a distilled soju producer based in Jeju-do, South Korea. Public sources identify it as the producer of 제주술익는집 고소리술·제주고소리술. Published product information refers to ingredients including 누룩·국. The producer and its soju activity were cross-checked against public and independent producer, sales, or government sources during the 2026 review.</x:v>
      </x:c>
      <x:c r="K58" s="17" t="str">
        <x:v>제주술익는집 고소리술, 제주고소리술</x:v>
      </x:c>
      <x:c r="L58" s="17" t="str">
        <x:v>증류식</x:v>
      </x:c>
      <x:c r="M58" s="17" t="str">
        <x:v>2026 조사 시점 공공 카탈로그 등재와 제조사·판매 페이지를 대조</x:v>
      </x:c>
      <x:c r="N58" s="17" t="str">
        <x:v>https://thesool.com/front/find/M000000082/view.do?productId=PR00000560</x:v>
      </x:c>
      <x:c r="O58" s="17" t="str">
        <x:v>http://jejugosorisul.com/</x:v>
      </x:c>
      <x:c r="P58" s="17" t="str">
        <x:v>https://i.nts.go.kr/llsc/na/ntt/selectNttList.do?bbsId=22830&amp;mi=1511</x:v>
      </x:c>
      <x:c r="Q58" s="17" t="str">
        <x:v>B | 2개 출처 일치</x:v>
      </x:c>
      <x:c r="R58" s="17" t="str">
        <x:v>공식 설립연도 미확인</x:v>
      </x:c>
      <x:c r="S58" s="17" t="str">
        <x:v>공식 또는 널리 쓰이는 영문 표기</x:v>
      </x:c>
      <x:c r="T58" s="17" t="str">
        <x:v>등록 가능. 설립연도·공식 영문명은 공개 근거가 없으면 빈칸/권장 표기로 유지</x:v>
      </x:c>
    </x:row>
    <x:row r="59" ht="78" customHeight="1">
      <x:c r="A59" s="17" t="str">
        <x:v>OTHER</x:v>
      </x:c>
      <x:c r="B59" s="17" t="str">
        <x:v>제천한약영농조합법인</x:v>
      </x:c>
      <x:c r="C59" s="17" t="str">
        <x:v>Jecheonhanyak Brewery</x:v>
      </x:c>
      <x:c r="D59" s="17"/>
      <x:c r="E59" s="17" t="str">
        <x:v>https://www.xn--o39aj06azycp7ebxxnfa.com/</x:v>
      </x:c>
      <x:c r="F59" s="17" t="str">
        <x:v>제천한약영농조합법인, 제천한약 영농조합법인, 제천한약, Jecheonhanyak Brewery, 한비 쌀소주, 한비 오가피술, 한비의림소주, 한비쌀소주, 한비소주</x:v>
      </x:c>
      <x:c r="G59" s="17" t="str">
        <x:v>대한민국</x:v>
      </x:c>
      <x:c r="H59" s="17" t="str">
        <x:v>충청북도</x:v>
      </x:c>
      <x:c r="I59" s="17" t="str">
        <x:v>제천한약영농조합법인(Jecheonhanyak Brewery)은 충청북도에 기반을 둔 대한민국의 증류식 소주 제조사입니다. 공개 자료에서 한비 쌀소주·한비 오가피술·한비의림소주·한비쌀소주·한비소주의 제조사로 확인됩니다. 공개 제품 설명에는 쌀·누룩·국 등을 원료로 사용하는 내용이 확인됩니다. 2026년 조사 시점에 공공 카탈로그와 별도 제조사·판매 경로를 대조해 제품 활동을 확인했습니다.</x:v>
      </x:c>
      <x:c r="J59" s="17" t="str">
        <x:v>제천한약영농조합법인 (Jecheonhanyak Brewery) is a distilled soju producer based in Chungcheongbuk-do, South Korea. Public sources identify it as the producer of 한비 쌀소주·한비 오가피술·한비의림소주·한비쌀소주·한비소주. Published product information refers to ingredients including 쌀·누룩·국. The producer and its soju activity were cross-checked against public and independent producer, sales, or government sources during the 2026 review.</x:v>
      </x:c>
      <x:c r="K59" s="17" t="str">
        <x:v>한비 쌀소주, 한비 오가피술, 한비의림소주, 한비쌀소주, 한비소주</x:v>
      </x:c>
      <x:c r="L59" s="17" t="str">
        <x:v>증류식</x:v>
      </x:c>
      <x:c r="M59" s="17" t="str">
        <x:v>2026 조사 시점 공공 카탈로그 등재와 제조사·판매 페이지를 대조</x:v>
      </x:c>
      <x:c r="N59" s="17" t="str">
        <x:v>https://thesool.com/front/find/M000000082/view.do?productId=PR00000549</x:v>
      </x:c>
      <x:c r="O59" s="17" t="str">
        <x:v>https://www.xn--o39aj06azycp7ebxxnfa.com/</x:v>
      </x:c>
      <x:c r="P59" s="17" t="str">
        <x:v>https://i.nts.go.kr/llsc/na/ntt/selectNttList.do?bbsId=22830&amp;mi=1511</x:v>
      </x:c>
      <x:c r="Q59" s="17" t="str">
        <x:v>B | 2개 출처 일치</x:v>
      </x:c>
      <x:c r="R59" s="17" t="str">
        <x:v>공식 설립연도 미확인</x:v>
      </x:c>
      <x:c r="S59" s="17" t="str">
        <x:v>권장 로마자 표기 — 등록 전 공식 표기 확인</x:v>
      </x:c>
      <x:c r="T59" s="17" t="str">
        <x:v>등록 가능. 설립연도·공식 영문명은 공개 근거가 없으면 빈칸/권장 표기로 유지</x:v>
      </x:c>
    </x:row>
    <x:row r="60" ht="78" customHeight="1">
      <x:c r="A60" s="17" t="str">
        <x:v>OTHER</x:v>
      </x:c>
      <x:c r="B60" s="17" t="str">
        <x:v>조은술세종㈜</x:v>
      </x:c>
      <x:c r="C60" s="17" t="str">
        <x:v>Joeunsul Sejong Co., Ltd.</x:v>
      </x:c>
      <x:c r="D60" s="17"/>
      <x:c r="E60" s="17" t="str">
        <x:v>http://www.joeunsulsj.co.kr/</x:v>
      </x:c>
      <x:c r="F60" s="17" t="str">
        <x:v>조은술 세종, 조은술세종, 조은술세종(주), 조은술세종㈜, Joeunsul Sejong Co., Ltd., 유기농 이도 32, 유기농 이도 42, 이도22, 이도</x:v>
      </x:c>
      <x:c r="G60" s="17" t="str">
        <x:v>대한민국</x:v>
      </x:c>
      <x:c r="H60" s="17" t="str">
        <x:v>충청북도</x:v>
      </x:c>
      <x:c r="I60" s="17" t="str">
        <x:v>조은술세종㈜(Joeunsul Sejong Co., Ltd.)은 충청북도에 기반을 둔 대한민국의 증류식 소주 제조사입니다. 공개 자료에서 유기농 이도 32·유기농 이도 42·이도22·이도의 제조사로 확인됩니다. 공개 제품 설명에는 쌀 등을 원료로 사용하는 내용이 확인됩니다. 2026년 조사 시점에 공공 카탈로그와 별도 제조사·판매 경로를 대조해 제품 활동을 확인했습니다.</x:v>
      </x:c>
      <x:c r="J60" s="17" t="str">
        <x:v>조은술세종㈜ (Joeunsul Sejong Co., Ltd.) is a distilled soju producer based in Chungcheongbuk-do, South Korea. Public sources identify it as the producer of 유기농 이도 32·유기농 이도 42·이도22·이도. Published product information refers to ingredients including 쌀. The producer and its soju activity were cross-checked against public and independent producer, sales, or government sources during the 2026 review.</x:v>
      </x:c>
      <x:c r="K60" s="17" t="str">
        <x:v>유기농 이도 32, 유기농 이도 42, 이도22, 이도</x:v>
      </x:c>
      <x:c r="L60" s="17" t="str">
        <x:v>증류식</x:v>
      </x:c>
      <x:c r="M60" s="17" t="str">
        <x:v>2026 조사 시점 공공 카탈로그 등재와 제조사·판매 페이지를 대조</x:v>
      </x:c>
      <x:c r="N60" s="17" t="str">
        <x:v>https://thesool.com/front/find/M000000082/view.do?productId=PR00000751</x:v>
      </x:c>
      <x:c r="O60" s="17" t="str">
        <x:v>http://www.joeunsulsj.co.kr/</x:v>
      </x:c>
      <x:c r="P60" s="17" t="str">
        <x:v>https://i.nts.go.kr/llsc/na/ntt/selectNttList.do?bbsId=22830&amp;mi=1511</x:v>
      </x:c>
      <x:c r="Q60" s="17" t="str">
        <x:v>B | 2개 출처 일치</x:v>
      </x:c>
      <x:c r="R60" s="17" t="str">
        <x:v>공식 설립연도 미확인</x:v>
      </x:c>
      <x:c r="S60" s="17" t="str">
        <x:v>공식 또는 널리 쓰이는 영문 표기</x:v>
      </x:c>
      <x:c r="T60" s="17" t="str">
        <x:v>등록 가능. 설립연도·공식 영문명은 공개 근거가 없으면 빈칸/권장 표기로 유지</x:v>
      </x:c>
    </x:row>
    <x:row r="61" ht="78" customHeight="1">
      <x:c r="A61" s="17" t="str">
        <x:v>OTHER</x:v>
      </x:c>
      <x:c r="B61" s="17" t="str">
        <x:v>죽향도가</x:v>
      </x:c>
      <x:c r="C61" s="17" t="str">
        <x:v>Jukhyangdoga Brewery</x:v>
      </x:c>
      <x:c r="D61" s="17"/>
      <x:c r="E61" s="17" t="str">
        <x:v>https://smartstore.naver.com/jhdg</x:v>
      </x:c>
      <x:c r="F61" s="17" t="str">
        <x:v>죽향도가, Jukhyangdoga Brewery, 대숲 맑은 담양향 Gold</x:v>
      </x:c>
      <x:c r="G61" s="17" t="str">
        <x:v>대한민국</x:v>
      </x:c>
      <x:c r="H61" s="17" t="str">
        <x:v>전라남도</x:v>
      </x:c>
      <x:c r="I61" s="17" t="str">
        <x:v>죽향도가(Jukhyangdoga Brewery)은 전라남도에 기반을 둔 대한민국의 증류식 소주 제조사입니다. 공개 자료에서 대숲 맑은 담양향 Gold의 제조사로 확인됩니다. 공개 제품 설명에는 쌀 등을 원료로 사용하는 내용이 확인됩니다. 2026년 조사 시점에 공공 카탈로그와 별도 제조사·판매 경로를 대조해 제품 활동을 확인했습니다.</x:v>
      </x:c>
      <x:c r="J61" s="17" t="str">
        <x:v>죽향도가 (Jukhyangdoga Brewery) is a distilled soju producer based in Jeollanam-do, South Korea. Public sources identify it as the producer of 대숲 맑은 담양향 Gold. Published product information refers to ingredients including 쌀. The producer and its soju activity were cross-checked against public and independent producer, sales, or government sources during the 2026 review.</x:v>
      </x:c>
      <x:c r="K61" s="17" t="str">
        <x:v>대숲 맑은 담양향 Gold</x:v>
      </x:c>
      <x:c r="L61" s="17" t="str">
        <x:v>증류식</x:v>
      </x:c>
      <x:c r="M61" s="17" t="str">
        <x:v>2026 조사 시점 공공 카탈로그 등재와 제조사·판매 페이지를 대조</x:v>
      </x:c>
      <x:c r="N61" s="17" t="str">
        <x:v>https://thesool.com/front/find/M000000082/view.do?productId=PR00001127</x:v>
      </x:c>
      <x:c r="O61" s="17" t="str">
        <x:v>https://smartstore.naver.com/jhdg</x:v>
      </x:c>
      <x:c r="P61" s="17" t="str"/>
      <x:c r="Q61" s="17" t="str">
        <x:v>B | 2개 출처 일치</x:v>
      </x:c>
      <x:c r="R61" s="17" t="str">
        <x:v>공식 설립연도 미확인</x:v>
      </x:c>
      <x:c r="S61" s="17" t="str">
        <x:v>권장 로마자 표기 — 등록 전 공식 표기 확인</x:v>
      </x:c>
      <x:c r="T61" s="17" t="str">
        <x:v>등록 가능. 설립연도·공식 영문명은 공개 근거가 없으면 빈칸/권장 표기로 유지</x:v>
      </x:c>
    </x:row>
    <x:row r="62" ht="78" customHeight="1">
      <x:c r="A62" s="17" t="str">
        <x:v>OTHER</x:v>
      </x:c>
      <x:c r="B62" s="17" t="str">
        <x:v>지비지 스피리츠㈜ 농업회사법인</x:v>
      </x:c>
      <x:c r="C62" s="17" t="str">
        <x:v>GBG Spirits Agricultural Corporation</x:v>
      </x:c>
      <x:c r="D62" s="17"/>
      <x:c r="E62" s="17" t="str"/>
      <x:c r="F62" s="17" t="str">
        <x:v>GBG Spirits, 경복궁 소주, 지비지 스피리츠㈜ 농업회사법인, GBG Spirits Agricultural Corporation, 경복궁 소주40</x:v>
      </x:c>
      <x:c r="G62" s="17" t="str">
        <x:v>대한민국</x:v>
      </x:c>
      <x:c r="H62" s="17" t="str"/>
      <x:c r="I62" s="17" t="str">
        <x:v>지비지 스피리츠㈜ 농업회사법인(GBG Spirits Agricultural Corporation)은 대한민국에서 운영되는 대한민국의 증류식 소주 제조사입니다. 공개 자료에서 경복궁 소주40의 제조사로 확인됩니다. 2026년 조사 시점에 공공 카탈로그와 별도 제조사·판매 경로를 대조해 제품 활동을 확인했습니다.</x:v>
      </x:c>
      <x:c r="J62" s="17" t="str">
        <x:v>지비지 스피리츠㈜ 농업회사법인 (GBG Spirits Agricultural Corporation) is a distilled soju producer operating in South Korea. Public sources identify it as the producer of 경복궁 소주40. The producer and its soju activity were cross-checked against public and independent producer, sales, or government sources during the 2026 review.</x:v>
      </x:c>
      <x:c r="K62" s="17" t="str">
        <x:v>경복궁 소주40</x:v>
      </x:c>
      <x:c r="L62" s="17" t="str">
        <x:v>증류식</x:v>
      </x:c>
      <x:c r="M62" s="17" t="str">
        <x:v>2026 국세청 K-SUUL 참가 제품으로 현재 생산 활동 확인. 공식 홈페이지·설립연도는 공개 확인이 필요</x:v>
      </x:c>
      <x:c r="N62" s="17" t="str">
        <x:v>https://t.nts.go.kr/dongdaegu/na/ntt/selectNttInfo.do?mi=2201&amp;nttSn=1351814</x:v>
      </x:c>
      <x:c r="O62" s="17" t="str"/>
      <x:c r="P62" s="17" t="str"/>
      <x:c r="Q62" s="17" t="str">
        <x:v>A | 2026 공식 확인</x:v>
      </x:c>
      <x:c r="R62" s="17" t="str">
        <x:v>공식 설립연도 미확인</x:v>
      </x:c>
      <x:c r="S62" s="17" t="str">
        <x:v>공식 또는 널리 쓰이는 영문 표기</x:v>
      </x:c>
      <x:c r="T62" s="17" t="str">
        <x:v>2026 국세청 K-SUUL 참가 제품으로 현재 생산 활동 확인. 공식 홈페이지·설립연도는 공개 확인이 필요</x:v>
      </x:c>
    </x:row>
    <x:row r="63" ht="78" customHeight="1">
      <x:c r="A63" s="17" t="str">
        <x:v>OTHER</x:v>
      </x:c>
      <x:c r="B63" s="17" t="str">
        <x:v>추연당</x:v>
      </x:c>
      <x:c r="C63" s="17" t="str">
        <x:v>Chuyeondang Brewery</x:v>
      </x:c>
      <x:c r="D63" s="17"/>
      <x:c r="E63" s="17" t="str">
        <x:v>https://smartstore.naver.com/chuyondang</x:v>
      </x:c>
      <x:c r="F63" s="17" t="str">
        <x:v>추연당, Chuyeondang Brewery, 소여강</x:v>
      </x:c>
      <x:c r="G63" s="17" t="str">
        <x:v>대한민국</x:v>
      </x:c>
      <x:c r="H63" s="17" t="str">
        <x:v>경기도</x:v>
      </x:c>
      <x:c r="I63" s="17" t="str">
        <x:v>추연당(Chuyeondang Brewery)은 경기도에 기반을 둔 대한민국의 증류식 소주 제조사입니다. 공개 자료에서 소여강의 제조사로 확인됩니다. 공개 제품 설명에는 쌀·누룩·국 등을 원료로 사용하는 내용이 확인됩니다. 2026년 조사 시점에 공공 카탈로그와 별도 제조사·판매 경로를 대조해 제품 활동을 확인했습니다.</x:v>
      </x:c>
      <x:c r="J63" s="17" t="str">
        <x:v>추연당 (Chuyeondang Brewery) is a distilled soju producer based in Gyeonggi-do, South Korea. Public sources identify it as the producer of 소여강. Published product information refers to ingredients including 쌀·누룩·국. The producer and its soju activity were cross-checked against public and independent producer, sales, or government sources during the 2026 review.</x:v>
      </x:c>
      <x:c r="K63" s="17" t="str">
        <x:v>소여강</x:v>
      </x:c>
      <x:c r="L63" s="17" t="str">
        <x:v>증류식</x:v>
      </x:c>
      <x:c r="M63" s="17" t="str">
        <x:v>2026 조사 시점 공공 카탈로그 등재와 제조사·판매 페이지를 대조</x:v>
      </x:c>
      <x:c r="N63" s="17" t="str">
        <x:v>https://thesool.com/front/find/M000000082/view.do?productId=PR00000527</x:v>
      </x:c>
      <x:c r="O63" s="17" t="str">
        <x:v>https://smartstore.naver.com/chuyondang</x:v>
      </x:c>
      <x:c r="P63" s="17" t="str"/>
      <x:c r="Q63" s="17" t="str">
        <x:v>B | 2개 출처 일치</x:v>
      </x:c>
      <x:c r="R63" s="17" t="str">
        <x:v>공식 설립연도 미확인</x:v>
      </x:c>
      <x:c r="S63" s="17" t="str">
        <x:v>권장 로마자 표기 — 등록 전 공식 표기 확인</x:v>
      </x:c>
      <x:c r="T63" s="17" t="str">
        <x:v>등록 가능. 설립연도·공식 영문명은 공개 근거가 없으면 빈칸/권장 표기로 유지</x:v>
      </x:c>
    </x:row>
    <x:row r="64" ht="78" customHeight="1">
      <x:c r="A64" s="17" t="str">
        <x:v>OTHER</x:v>
      </x:c>
      <x:c r="B64" s="17" t="str">
        <x:v>한산소곡주</x:v>
      </x:c>
      <x:c r="C64" s="17" t="str">
        <x:v>Hansansogokju Brewery</x:v>
      </x:c>
      <x:c r="D64" s="17"/>
      <x:c r="E64" s="17" t="str">
        <x:v>http://www.sogokju.co.kr/</x:v>
      </x:c>
      <x:c r="F64" s="17" t="str">
        <x:v>한산소곡주, Hansansogokju Brewery, 불소주, 화백</x:v>
      </x:c>
      <x:c r="G64" s="17" t="str">
        <x:v>대한민국</x:v>
      </x:c>
      <x:c r="H64" s="17" t="str">
        <x:v>충청남도</x:v>
      </x:c>
      <x:c r="I64" s="17" t="str">
        <x:v>한산소곡주(Hansansogokju Brewery)은 충청남도에 기반을 둔 대한민국의 증류식 소주 제조사입니다. 공개 자료에서 불소주·화백의 제조사로 확인됩니다. 공개 제품 설명에는 쌀·밀·누룩·국 등을 원료로 사용하는 내용이 확인됩니다. 2026년 조사 시점에 공공 카탈로그와 별도 제조사·판매 경로를 대조해 제품 활동을 확인했습니다.</x:v>
      </x:c>
      <x:c r="J64" s="17" t="str">
        <x:v>한산소곡주 (Hansansogokju Brewery) is a distilled soju producer based in Chungcheongnam-do, South Korea. Public sources identify it as the producer of 불소주·화백. Published product information refers to ingredients including 쌀·밀·누룩·국. The producer and its soju activity were cross-checked against public and independent producer, sales, or government sources during the 2026 review.</x:v>
      </x:c>
      <x:c r="K64" s="17" t="str">
        <x:v>불소주, 화백</x:v>
      </x:c>
      <x:c r="L64" s="17" t="str">
        <x:v>증류식</x:v>
      </x:c>
      <x:c r="M64" s="17" t="str">
        <x:v>2026 조사 시점 공공 카탈로그 등재와 제조사·판매 페이지를 대조</x:v>
      </x:c>
      <x:c r="N64" s="17" t="str">
        <x:v>https://thesool.com/front/find/M000000082/view.do?productId=PR00000909</x:v>
      </x:c>
      <x:c r="O64" s="17" t="str">
        <x:v>http://www.sogokju.co.kr/</x:v>
      </x:c>
      <x:c r="P64" s="17" t="str"/>
      <x:c r="Q64" s="17" t="str">
        <x:v>B | 2개 출처 일치</x:v>
      </x:c>
      <x:c r="R64" s="17" t="str">
        <x:v>공식 설립연도 미확인</x:v>
      </x:c>
      <x:c r="S64" s="17" t="str">
        <x:v>권장 로마자 표기 — 등록 전 공식 표기 확인</x:v>
      </x:c>
      <x:c r="T64" s="17" t="str">
        <x:v>등록 가능. 설립연도·공식 영문명은 공개 근거가 없으면 빈칸/권장 표기로 유지</x:v>
      </x:c>
    </x:row>
    <x:row r="65" ht="78" customHeight="1">
      <x:c r="A65" s="17" t="str">
        <x:v>OTHER</x:v>
      </x:c>
      <x:c r="B65" s="17" t="str">
        <x:v>한산예담은소곡주</x:v>
      </x:c>
      <x:c r="C65" s="17" t="str">
        <x:v>Hansanyedameunsogokju Brewery</x:v>
      </x:c>
      <x:c r="D65" s="17"/>
      <x:c r="E65" s="17" t="str">
        <x:v>http://xn--399a58ii8nflevubg8d.com/</x:v>
      </x:c>
      <x:c r="F65" s="17" t="str">
        <x:v>한산예담은소곡주, Hansanyedameunsogokju Brewery, 한산예담은 한산소곡화주</x:v>
      </x:c>
      <x:c r="G65" s="17" t="str">
        <x:v>대한민국</x:v>
      </x:c>
      <x:c r="H65" s="17" t="str">
        <x:v>충청남도</x:v>
      </x:c>
      <x:c r="I65" s="17" t="str">
        <x:v>한산예담은소곡주(Hansanyedameunsogokju Brewery)은 충청남도에 기반을 둔 대한민국의 증류식 소주 제조사입니다. 공개 자료에서 한산예담은 한산소곡화주의 제조사로 확인됩니다. 공개 제품 설명에는 쌀·누룩·국 등을 원료로 사용하는 내용이 확인됩니다. 2026년 조사 시점에 공공 카탈로그와 별도 제조사·판매 경로를 대조해 제품 활동을 확인했습니다.</x:v>
      </x:c>
      <x:c r="J65" s="17" t="str">
        <x:v>한산예담은소곡주 (Hansanyedameunsogokju Brewery) is a distilled soju producer based in Chungcheongnam-do, South Korea. Public sources identify it as the producer of 한산예담은 한산소곡화주. Published product information refers to ingredients including 쌀·누룩·국. The producer and its soju activity were cross-checked against public and independent producer, sales, or government sources during the 2026 review.</x:v>
      </x:c>
      <x:c r="K65" s="17" t="str">
        <x:v>한산예담은 한산소곡화주</x:v>
      </x:c>
      <x:c r="L65" s="17" t="str">
        <x:v>증류식</x:v>
      </x:c>
      <x:c r="M65" s="17" t="str">
        <x:v>2026 조사 시점 공공 카탈로그 등재와 제조사·판매 페이지를 대조</x:v>
      </x:c>
      <x:c r="N65" s="17" t="str">
        <x:v>https://thesool.com/front/find/M000000082/view.do?productId=PR00000478</x:v>
      </x:c>
      <x:c r="O65" s="17" t="str">
        <x:v>http://xn--399a58ii8nflevubg8d.com/</x:v>
      </x:c>
      <x:c r="P65" s="17" t="str"/>
      <x:c r="Q65" s="17" t="str">
        <x:v>B | 2개 출처 일치</x:v>
      </x:c>
      <x:c r="R65" s="17" t="str">
        <x:v>공식 설립연도 미확인</x:v>
      </x:c>
      <x:c r="S65" s="17" t="str">
        <x:v>권장 로마자 표기 — 등록 전 공식 표기 확인</x:v>
      </x:c>
      <x:c r="T65" s="17" t="str">
        <x:v>등록 가능. 설립연도·공식 영문명은 공개 근거가 없으면 빈칸/권장 표기로 유지</x:v>
      </x:c>
    </x:row>
    <x:row r="66" ht="78" customHeight="1">
      <x:c r="A66" s="17" t="str">
        <x:v>OTHER</x:v>
      </x:c>
      <x:c r="B66" s="17" t="str">
        <x:v>한주양조</x:v>
      </x:c>
      <x:c r="C66" s="17" t="str">
        <x:v>Hanjuyangjo Brewery</x:v>
      </x:c>
      <x:c r="D66" s="17"/>
      <x:c r="E66" s="17" t="str">
        <x:v>https://www.hanju.kr/hanju</x:v>
      </x:c>
      <x:c r="F66" s="17" t="str">
        <x:v>한주양조, Hanjuyangjo Brewery, 한주매화, 한주/25도, 한주/20도, 한주/35도</x:v>
      </x:c>
      <x:c r="G66" s="17" t="str">
        <x:v>대한민국</x:v>
      </x:c>
      <x:c r="H66" s="17" t="str">
        <x:v>경기도</x:v>
      </x:c>
      <x:c r="I66" s="17" t="str">
        <x:v>한주양조(Hanjuyangjo Brewery)은 경기도에 기반을 둔 대한민국의 증류식 소주 제조사입니다. 공개 자료에서 한주매화·한주/25도·한주/20도·한주/35도의 제조사로 확인됩니다. 공개 제품 설명에는 쌀·밀·누룩·국 등을 원료로 사용하는 내용이 확인됩니다. 2026년 조사 시점에 공공 카탈로그와 별도 제조사·판매 경로를 대조해 제품 활동을 확인했습니다.</x:v>
      </x:c>
      <x:c r="J66" s="17" t="str">
        <x:v>한주양조 (Hanjuyangjo Brewery) is a distilled soju producer based in Gyeonggi-do, South Korea. Public sources identify it as the producer of 한주매화·한주/25도·한주/20도·한주/35도. Published product information refers to ingredients including 쌀·밀·누룩·국. The producer and its soju activity were cross-checked against public and independent producer, sales, or government sources during the 2026 review.</x:v>
      </x:c>
      <x:c r="K66" s="17" t="str">
        <x:v>한주매화, 한주/25도, 한주/20도, 한주/35도</x:v>
      </x:c>
      <x:c r="L66" s="17" t="str">
        <x:v>증류식</x:v>
      </x:c>
      <x:c r="M66" s="17" t="str">
        <x:v>2026 조사 시점 공공 카탈로그 등재와 제조사·판매 페이지를 대조</x:v>
      </x:c>
      <x:c r="N66" s="17" t="str">
        <x:v>https://thesool.com/front/find/M000000082/view.do?productId=PR00001110</x:v>
      </x:c>
      <x:c r="O66" s="17" t="str">
        <x:v>https://www.hanju.kr/hanju</x:v>
      </x:c>
      <x:c r="P66" s="17" t="str">
        <x:v>https://i.nts.go.kr/llsc/na/ntt/selectNttList.do?bbsId=22830&amp;mi=1511</x:v>
      </x:c>
      <x:c r="Q66" s="17" t="str">
        <x:v>B | 2개 출처 일치</x:v>
      </x:c>
      <x:c r="R66" s="17" t="str">
        <x:v>공식 설립연도 미확인</x:v>
      </x:c>
      <x:c r="S66" s="17" t="str">
        <x:v>권장 로마자 표기 — 등록 전 공식 표기 확인</x:v>
      </x:c>
      <x:c r="T66" s="17" t="str">
        <x:v>등록 가능. 설립연도·공식 영문명은 공개 근거가 없으면 빈칸/권장 표기로 유지</x:v>
      </x:c>
    </x:row>
    <x:row r="67" ht="78" customHeight="1">
      <x:c r="A67" s="17" t="str">
        <x:v>OTHER</x:v>
      </x:c>
      <x:c r="B67" s="17" t="str">
        <x:v>협동조합 모월</x:v>
      </x:c>
      <x:c r="C67" s="17" t="str">
        <x:v>MOWOL Cooperative</x:v>
      </x:c>
      <x:c r="D67" s="17"/>
      <x:c r="E67" s="17" t="str">
        <x:v>http://www.mowall.co.kr/</x:v>
      </x:c>
      <x:c r="F67" s="17" t="str">
        <x:v>모월, 모월 협동조합, 주담, 협동조합 모월, MOWOL Cooperative, 모월 로, 모월 인, 모월인</x:v>
      </x:c>
      <x:c r="G67" s="17" t="str">
        <x:v>대한민국</x:v>
      </x:c>
      <x:c r="H67" s="17" t="str">
        <x:v>강원도</x:v>
      </x:c>
      <x:c r="I67" s="17" t="str">
        <x:v>협동조합 모월(MOWOL Cooperative)은 강원도에 기반을 둔 대한민국의 증류식 소주 제조사입니다. 공개 자료에서 모월 로·모월 인·모월인의 제조사로 확인됩니다. 공개 제품 설명에는 쌀·누룩·국 등을 원료로 사용하는 내용이 확인됩니다. 2026년 조사 시점에 공공 카탈로그와 별도 제조사·판매 경로를 대조해 제품 활동을 확인했습니다.</x:v>
      </x:c>
      <x:c r="J67" s="17" t="str">
        <x:v>협동조합 모월 (MOWOL Cooperative) is a distilled soju producer based in Gangwon-do, South Korea. Public sources identify it as the producer of 모월 로·모월 인·모월인. Published product information refers to ingredients including 쌀·누룩·국. The producer and its soju activity were cross-checked against public and independent producer, sales, or government sources during the 2026 review.</x:v>
      </x:c>
      <x:c r="K67" s="17" t="str">
        <x:v>모월 로, 모월 인, 모월인</x:v>
      </x:c>
      <x:c r="L67" s="17" t="str">
        <x:v>증류식</x:v>
      </x:c>
      <x:c r="M67" s="17" t="str">
        <x:v>2026 조사 시점 공공 카탈로그 등재와 제조사·판매 페이지를 대조</x:v>
      </x:c>
      <x:c r="N67" s="17" t="str">
        <x:v>https://thesool.com/front/find/M000000082/view.do?productId=PR00000697</x:v>
      </x:c>
      <x:c r="O67" s="17" t="str">
        <x:v>http://www.mowall.co.kr/</x:v>
      </x:c>
      <x:c r="P67" s="17" t="str">
        <x:v>https://i.nts.go.kr/llsc/na/ntt/selectNttList.do?bbsId=22830&amp;mi=1511</x:v>
      </x:c>
      <x:c r="Q67" s="17" t="str">
        <x:v>B | 2개 출처 일치</x:v>
      </x:c>
      <x:c r="R67" s="17" t="str">
        <x:v>공식 설립연도 미확인</x:v>
      </x:c>
      <x:c r="S67" s="17" t="str">
        <x:v>공식 또는 널리 쓰이는 영문 표기</x:v>
      </x:c>
      <x:c r="T67" s="17" t="str">
        <x:v>등록 가능. 설립연도·공식 영문명은 공개 근거가 없으면 빈칸/권장 표기로 유지</x:v>
      </x:c>
    </x:row>
    <x:row r="68" ht="78" customHeight="1">
      <x:c r="A68" s="17" t="str">
        <x:v>OTHER</x:v>
      </x:c>
      <x:c r="B68" s="17" t="str">
        <x:v>화심주조</x:v>
      </x:c>
      <x:c r="C68" s="17" t="str">
        <x:v>Hwasimjujo Brewery</x:v>
      </x:c>
      <x:c r="D68" s="17"/>
      <x:c r="E68" s="17" t="str">
        <x:v>https://hwasimjujo.co.kr/</x:v>
      </x:c>
      <x:c r="F68" s="17" t="str">
        <x:v>화심주조, Hwasimjujo Brewery, 화심소주 군고구마</x:v>
      </x:c>
      <x:c r="G68" s="17" t="str">
        <x:v>대한민국</x:v>
      </x:c>
      <x:c r="H68" s="17" t="str">
        <x:v>경기도</x:v>
      </x:c>
      <x:c r="I68" s="17" t="str">
        <x:v>화심주조(Hwasimjujo Brewery)은 경기도에 기반을 둔 대한민국의 증류식 소주 제조사입니다. 공개 자료에서 화심소주 군고구마의 제조사로 확인됩니다. 공개 제품 설명에는 고구마 등을 원료로 사용하는 내용이 확인됩니다. 2026년 조사 시점에 공공 카탈로그와 별도 제조사·판매 경로를 대조해 제품 활동을 확인했습니다.</x:v>
      </x:c>
      <x:c r="J68" s="17" t="str">
        <x:v>화심주조 (Hwasimjujo Brewery) is a distilled soju producer based in Gyeonggi-do, South Korea. Public sources identify it as the producer of 화심소주 군고구마. Published product information refers to ingredients including 고구마. The producer and its soju activity were cross-checked against public and independent producer, sales, or government sources during the 2026 review.</x:v>
      </x:c>
      <x:c r="K68" s="17" t="str">
        <x:v>화심소주 군고구마</x:v>
      </x:c>
      <x:c r="L68" s="17" t="str">
        <x:v>증류식</x:v>
      </x:c>
      <x:c r="M68" s="17" t="str">
        <x:v>2026 조사 시점 공공 카탈로그 등재와 제조사·판매 페이지를 대조</x:v>
      </x:c>
      <x:c r="N68" s="17" t="str">
        <x:v>https://thesool.com/front/find/M000000082/view.do?productId=PR00001248</x:v>
      </x:c>
      <x:c r="O68" s="17" t="str">
        <x:v>https://hwasimjujo.co.kr/</x:v>
      </x:c>
      <x:c r="P68" s="17" t="str"/>
      <x:c r="Q68" s="17" t="str">
        <x:v>B | 2개 출처 일치</x:v>
      </x:c>
      <x:c r="R68" s="17" t="str">
        <x:v>공식 설립연도 미확인</x:v>
      </x:c>
      <x:c r="S68" s="17" t="str">
        <x:v>권장 로마자 표기 — 등록 전 공식 표기 확인</x:v>
      </x:c>
      <x:c r="T68" s="17" t="str">
        <x:v>등록 가능. 설립연도·공식 영문명은 공개 근거가 없으면 빈칸/권장 표기로 유지</x:v>
      </x:c>
    </x:row>
    <x:row r="69" ht="78" customHeight="1">
      <x:c r="A69" s="17" t="str">
        <x:v>OTHER</x:v>
      </x:c>
      <x:c r="B69" s="17" t="str">
        <x:v>황금보리(유)농업회사법인</x:v>
      </x:c>
      <x:c r="C69" s="17" t="str">
        <x:v>Hwanggeumbori Brewery</x:v>
      </x:c>
      <x:c r="D69" s="17"/>
      <x:c r="E69" s="17" t="str">
        <x:v>http://www.xn--jj0bu4t8rc0w2b.com/</x:v>
      </x:c>
      <x:c r="F69" s="17" t="str">
        <x:v>황금보리(유)농업회사법인, 황금보리(유한), Hwanggeumbori Brewery, 황금보리 증류주 25, 황금보리주/40도, 황금보리주/25도, 황금보리주/17도</x:v>
      </x:c>
      <x:c r="G69" s="17" t="str">
        <x:v>대한민국</x:v>
      </x:c>
      <x:c r="H69" s="17" t="str">
        <x:v>충청남도</x:v>
      </x:c>
      <x:c r="I69" s="17" t="str">
        <x:v>황금보리(유)농업회사법인(Hwanggeumbori Brewery)은 충청남도에 기반을 둔 대한민국의 증류식 소주 제조사입니다. 공개 자료에서 황금보리 증류주 25·황금보리주/40도·황금보리주/25도·황금보리주/17도의 제조사로 확인됩니다. 공개 제품 설명에는 보리·누룩·국 등을 원료로 사용하는 내용이 확인됩니다. 2026년 조사 시점에 공공 카탈로그와 별도 제조사·판매 경로를 대조해 제품 활동을 확인했습니다.</x:v>
      </x:c>
      <x:c r="J69" s="17" t="str">
        <x:v>황금보리(유)농업회사법인 (Hwanggeumbori Brewery) is a distilled soju producer based in Chungcheongnam-do, South Korea. Public sources identify it as the producer of 황금보리 증류주 25·황금보리주/40도·황금보리주/25도·황금보리주/17도. Published product information refers to ingredients including 보리·누룩·국. The producer and its soju activity were cross-checked against public and independent producer, sales, or government sources during the 2026 review.</x:v>
      </x:c>
      <x:c r="K69" s="17" t="str">
        <x:v>황금보리 증류주 25, 황금보리주/40도, 황금보리주/25도, 황금보리주/17도</x:v>
      </x:c>
      <x:c r="L69" s="17" t="str">
        <x:v>증류식</x:v>
      </x:c>
      <x:c r="M69" s="17" t="str">
        <x:v>2026 조사 시점 공공 카탈로그 등재와 제조사·판매 페이지를 대조</x:v>
      </x:c>
      <x:c r="N69" s="17" t="str">
        <x:v>https://thesool.com/front/find/M000000082/view.do?productId=PR00000920</x:v>
      </x:c>
      <x:c r="O69" s="17" t="str">
        <x:v>http://www.xn--jj0bu4t8rc0w2b.com/</x:v>
      </x:c>
      <x:c r="P69" s="17" t="str">
        <x:v>https://i.nts.go.kr/llsc/na/ntt/selectNttList.do?bbsId=22830&amp;mi=1511</x:v>
      </x:c>
      <x:c r="Q69" s="17" t="str">
        <x:v>B | 2개 출처 일치</x:v>
      </x:c>
      <x:c r="R69" s="17" t="str">
        <x:v>공식 설립연도 미확인</x:v>
      </x:c>
      <x:c r="S69" s="17" t="str">
        <x:v>권장 로마자 표기 — 등록 전 공식 표기 확인</x:v>
      </x:c>
      <x:c r="T69" s="17" t="str">
        <x:v>등록 가능. 설립연도·공식 영문명은 공개 근거가 없으면 빈칸/권장 표기로 유지</x:v>
      </x:c>
    </x:row>
  </x:sheetData>
  <x:mergeCells>
    <x:mergeCell ref="A1:T1"/>
    <x:mergeCell ref="A2:T2"/>
  </x:mergeCells>
  <x:conditionalFormatting sqref="Q5:Q69">
    <x:cfRule type="beginsWith" dxfId="0" priority="1" operator="beginsWith" text="A |"/>
    <x:cfRule type="beginsWith" dxfId="1" priority="2" operator="beginsWith" text="B |"/>
    <x:cfRule type="beginsWith" dxfId="2" priority="3" operator="beginsWith" text="C |"/>
    <x:cfRule type="beginsWith" dxfId="3" priority="4" operator="beginsWith" text="D |"/>
  </x:conditionalFormatting>
  <x:dataValidations count="3">
    <x:dataValidation type="list" sqref="A5:A69">
      <x:formula1>"OTHER"</x:formula1>
    </x:dataValidation>
    <x:dataValidation type="list" sqref="G5:G69">
      <x:formula1>"대한민국"</x:formula1>
    </x:dataValidation>
    <x:dataValidation type="list" sqref="Q5:Q69">
      <x:formula1>"A | 2026 공식 확인,A | 2026 활동 확인,B | 2개 출처 일치,C | 공공자료 확인,D | 품목 확인 필요"</x:formula1>
    </x:dataValidation>
  </x:dataValidations>
  <x:pageMargins left="0.7" right="0.7" top="0.75" bottom="0.75" header="0.3" footer="0.3"/>
  <x:tableParts count="1">
    <x:tablePart xmlns:r="http://schemas.openxmlformats.org/officeDocument/2006/relationships" r:id="Re96b1fdd31e34c8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27" hidden="0" customWidth="1"/>
    <x:col min="3" max="3" width="33" hidden="0" customWidth="1"/>
    <x:col min="4" max="4" width="11" hidden="0" customWidth="1"/>
    <x:col min="5" max="5" width="34" hidden="0" customWidth="1"/>
    <x:col min="6" max="6" width="45" hidden="0" customWidth="1"/>
    <x:col min="7" max="7" width="12" hidden="0" customWidth="1"/>
    <x:col min="8" max="8" width="14" hidden="0" customWidth="1"/>
    <x:col min="9" max="9" width="58" hidden="0" customWidth="1"/>
    <x:col min="10" max="10" width="58" hidden="0" customWidth="1"/>
    <x:col min="11" max="11" width="38" hidden="0" customWidth="1"/>
    <x:col min="12" max="12" width="16" hidden="0" customWidth="1"/>
    <x:col min="13" max="13" width="38" hidden="0" customWidth="1"/>
    <x:col min="14" max="14" width="44" hidden="0" customWidth="1"/>
    <x:col min="15" max="15" width="44" hidden="0" customWidth="1"/>
    <x:col min="16" max="16" width="44" hidden="0" customWidth="1"/>
    <x:col min="17" max="17" width="22" hidden="0" customWidth="1"/>
    <x:col min="18" max="18" width="34" hidden="0" customWidth="1"/>
    <x:col min="19" max="19" width="28" hidden="0" customWidth="1"/>
    <x:col min="20" max="20" width="42" hidden="0" customWidth="1"/>
  </x:cols>
  <x:sheetData>
    <x:row r="1" ht="32" customHeight="1">
      <x:c r="A1" s="3" t="str">
        <x:v>대한민국 소주 제조사 — 검토 필요 후보</x:v>
      </x:c>
      <x:c r="B1" s="3"/>
      <x:c r="C1" s="3"/>
      <x:c r="D1" s="3"/>
      <x:c r="E1" s="3"/>
      <x:c r="F1" s="3"/>
      <x:c r="G1" s="3"/>
      <x:c r="H1" s="3"/>
      <x:c r="I1" s="3"/>
      <x:c r="J1" s="3"/>
      <x:c r="K1" s="3"/>
      <x:c r="L1" s="3"/>
      <x:c r="M1" s="3"/>
      <x:c r="N1" s="3"/>
      <x:c r="O1" s="3"/>
      <x:c r="P1" s="3"/>
      <x:c r="Q1" s="3"/>
      <x:c r="R1" s="3"/>
      <x:c r="S1" s="3"/>
      <x:c r="T1" s="3"/>
    </x:row>
    <x:row r="2" ht="38" customHeight="1">
      <x:c r="A2" s="7" t="str">
        <x:v>공공 목록에는 있으나 2026 생산·판매 지속 여부 또는 법정 주종을 추가 확인해야 하는 27개사</x:v>
      </x:c>
      <x:c r="B2" s="7"/>
      <x:c r="C2" s="7"/>
      <x:c r="D2" s="7"/>
      <x:c r="E2" s="7"/>
      <x:c r="F2" s="7"/>
      <x:c r="G2" s="7"/>
      <x:c r="H2" s="7"/>
      <x:c r="I2" s="7"/>
      <x:c r="J2" s="7"/>
      <x:c r="K2" s="7"/>
      <x:c r="L2" s="7"/>
      <x:c r="M2" s="7"/>
      <x:c r="N2" s="7"/>
      <x:c r="O2" s="7"/>
      <x:c r="P2" s="7"/>
      <x:c r="Q2" s="7"/>
      <x:c r="R2" s="7"/>
      <x:c r="S2" s="7"/>
      <x:c r="T2" s="7"/>
    </x:row>
    <x:row r="4" ht="36" customHeight="1">
      <x:c r="A4" s="13" t="str">
        <x:v>생산자 종류</x:v>
      </x:c>
      <x:c r="B4" s="13" t="str">
        <x:v>한국어명</x:v>
      </x:c>
      <x:c r="C4" s="13" t="str">
        <x:v>영어명</x:v>
      </x:c>
      <x:c r="D4" s="13" t="str">
        <x:v>설립연도</x:v>
      </x:c>
      <x:c r="E4" s="13" t="str">
        <x:v>웹사이트</x:v>
      </x:c>
      <x:c r="F4" s="13" t="str">
        <x:v>검색 별칭</x:v>
      </x:c>
      <x:c r="G4" s="13" t="str">
        <x:v>국가</x:v>
      </x:c>
      <x:c r="H4" s="13" t="str">
        <x:v>지역</x:v>
      </x:c>
      <x:c r="I4" s="13" t="str">
        <x:v>소개 (한국어)</x:v>
      </x:c>
      <x:c r="J4" s="13" t="str">
        <x:v>소개 (영어)</x:v>
      </x:c>
      <x:c r="K4" s="13" t="str">
        <x:v>대표 소주 제품</x:v>
      </x:c>
      <x:c r="L4" s="13" t="str">
        <x:v>소주 유형</x:v>
      </x:c>
      <x:c r="M4" s="13" t="str">
        <x:v>2026 활동 근거</x:v>
      </x:c>
      <x:c r="N4" s="13" t="str">
        <x:v>출처 1 URL</x:v>
      </x:c>
      <x:c r="O4" s="13" t="str">
        <x:v>출처 2 URL</x:v>
      </x:c>
      <x:c r="P4" s="13" t="str">
        <x:v>출처 3 URL</x:v>
      </x:c>
      <x:c r="Q4" s="13" t="str">
        <x:v>교차검증 상태</x:v>
      </x:c>
      <x:c r="R4" s="13" t="str">
        <x:v>설립연도 근거·주의</x:v>
      </x:c>
      <x:c r="S4" s="13" t="str">
        <x:v>영문명 표기</x:v>
      </x:c>
      <x:c r="T4" s="13" t="str">
        <x:v>등록 전 검토 메모</x:v>
      </x:c>
    </x:row>
    <x:row r="5" ht="78" customHeight="1">
      <x:c r="A5" s="17" t="str">
        <x:v>OTHER</x:v>
      </x:c>
      <x:c r="B5" s="17" t="str">
        <x:v>(농)(유)대마주조</x:v>
      </x:c>
      <x:c r="C5" s="17" t="str">
        <x:v>Daemajujo Brewery</x:v>
      </x:c>
      <x:c r="D5" s="17"/>
      <x:c r="E5" s="17" t="str"/>
      <x:c r="F5" s="17" t="str">
        <x:v>(농)(유)대마주조, Daemajujo Brewery, 톡 한잔 소주</x:v>
      </x:c>
      <x:c r="G5" s="17" t="str">
        <x:v>대한민국</x:v>
      </x:c>
      <x:c r="H5" s="17" t="str">
        <x:v>전라남도</x:v>
      </x:c>
      <x:c r="I5" s="17" t="str">
        <x:v>(농)(유)대마주조(Daemajujo Brewery)은 전라남도에 기반을 둔 대한민국의 증류식 소주 제조사입니다. 공개 자료에서 톡 한잔 소주의 제조사로 확인됩니다. 공개 제품 설명에는 쌀·보리 등을 원료로 사용하는 내용이 확인됩니다. 공공 목록에는 등재되어 있으나 2026년 생산·판매 지속 여부를 독립 출처로 추가 확인해야 합니다.</x:v>
      </x:c>
      <x:c r="J5" s="17" t="str">
        <x:v>(농)(유)대마주조 (Daemajujo Brewery) is a distilled soju producer based in Jeollanam-do, South Korea. Public sources identify it as the producer of 톡 한잔 소주. Published product information refers to ingredients including 쌀·보리. The producer appears in a public product list, but its continuing production and sales status should be confirmed before registration.</x:v>
      </x:c>
      <x:c r="K5" s="17" t="str">
        <x:v>톡 한잔 소주</x:v>
      </x:c>
      <x:c r="L5" s="17" t="str">
        <x:v>증류식</x:v>
      </x:c>
      <x:c r="M5" s="17" t="str">
        <x:v>공공 제품 목록 등재 확인; 2026 독립 판매 근거 추가 확인 필요</x:v>
      </x:c>
      <x:c r="N5" s="17" t="str">
        <x:v>https://thesool.com/front/find/M000000082/view.do?productId=PR00000584</x:v>
      </x:c>
      <x:c r="O5" s="17" t="str"/>
      <x:c r="P5" s="17" t="str"/>
      <x:c r="Q5" s="17" t="str">
        <x:v>C | 공공자료 확인</x:v>
      </x:c>
      <x:c r="R5" s="17" t="str">
        <x:v>공식 설립연도 미확인</x:v>
      </x:c>
      <x:c r="S5" s="17" t="str">
        <x:v>권장 로마자 표기 — 등록 전 공식 표기 확인</x:v>
      </x:c>
      <x:c r="T5" s="17" t="str">
        <x:v>제조사에 생산·판매 지속 여부를 확인한 뒤 등록 권장</x:v>
      </x:c>
    </x:row>
    <x:row r="6" ht="78" customHeight="1">
      <x:c r="A6" s="17" t="str">
        <x:v>OTHER</x:v>
      </x:c>
      <x:c r="B6" s="17" t="str">
        <x:v>(유한)대마주조</x:v>
      </x:c>
      <x:c r="C6" s="17" t="str">
        <x:v>Yuhan Daemajujo Brewery</x:v>
      </x:c>
      <x:c r="D6" s="17"/>
      <x:c r="E6" s="17" t="str"/>
      <x:c r="F6" s="17" t="str">
        <x:v>(유한)대마주조, Yuhan Daemajujo Brewery, 톡한잔소주</x:v>
      </x:c>
      <x:c r="G6" s="17" t="str">
        <x:v>대한민국</x:v>
      </x:c>
      <x:c r="H6" s="17" t="str"/>
      <x:c r="I6" s="17" t="str">
        <x:v>(유한)대마주조(Yuhan Daemajujo Brewery)은 대한민국에서 운영되는 대한민국의 증류식 소주 제조사입니다. 공개 자료에서 톡한잔소주의 제조사로 확인됩니다. 공공 목록에는 등재되어 있으나 2026년 생산·판매 지속 여부를 독립 출처로 추가 확인해야 합니다.</x:v>
      </x:c>
      <x:c r="J6" s="17" t="str">
        <x:v>(유한)대마주조 (Yuhan Daemajujo Brewery) is a distilled soju producer operating in South Korea. Public sources identify it as the producer of 톡한잔소주. The producer appears in a public product list, but its continuing production and sales status should be confirmed before registration.</x:v>
      </x:c>
      <x:c r="K6" s="17" t="str">
        <x:v>톡한잔소주</x:v>
      </x:c>
      <x:c r="L6" s="17" t="str">
        <x:v>증류식</x:v>
      </x:c>
      <x:c r="M6" s="17" t="str">
        <x:v>공공 제품 목록 등재 확인; 2026 독립 판매 근거 추가 확인 필요</x:v>
      </x:c>
      <x:c r="N6" s="17" t="str">
        <x:v>https://i.nts.go.kr/llsc/na/ntt/selectNttList.do?bbsId=22830&amp;mi=1511</x:v>
      </x:c>
      <x:c r="O6" s="17" t="str"/>
      <x:c r="P6" s="17" t="str"/>
      <x:c r="Q6" s="17" t="str">
        <x:v>C | 공공자료 확인</x:v>
      </x:c>
      <x:c r="R6" s="17" t="str">
        <x:v>공식 설립연도 미확인</x:v>
      </x:c>
      <x:c r="S6" s="17" t="str">
        <x:v>권장 로마자 표기 — 등록 전 공식 표기 확인</x:v>
      </x:c>
      <x:c r="T6" s="17" t="str">
        <x:v>제조사에 생산·판매 지속 여부를 확인한 뒤 등록 권장</x:v>
      </x:c>
    </x:row>
    <x:row r="7" ht="78" customHeight="1">
      <x:c r="A7" s="17" t="str">
        <x:v>OTHER</x:v>
      </x:c>
      <x:c r="B7" s="17" t="str">
        <x:v>㈜배상면주가</x:v>
      </x:c>
      <x:c r="C7" s="17" t="str">
        <x:v>Bae Sang Myun Brewery Co., Ltd.</x:v>
      </x:c>
      <x:c r="D7" s="17"/>
      <x:c r="E7" s="17" t="str"/>
      <x:c r="F7" s="17" t="str">
        <x:v>농업회사법인배상면주가고창LB(주), ㈜배상면주가, Bae Sang Myun Brewery Co., Ltd., 느린마을소주</x:v>
      </x:c>
      <x:c r="G7" s="17" t="str">
        <x:v>대한민국</x:v>
      </x:c>
      <x:c r="H7" s="17" t="str"/>
      <x:c r="I7" s="17" t="str">
        <x:v>㈜배상면주가(Bae Sang Myun Brewery Co., Ltd.)은 대한민국에서 운영되는 대한민국의 증류식 소주 제조사입니다. 공개 자료에서 느린마을소주의 제조사로 확인됩니다. 공공 목록에는 등재되어 있으나 2026년 생산·판매 지속 여부를 독립 출처로 추가 확인해야 합니다.</x:v>
      </x:c>
      <x:c r="J7" s="17" t="str">
        <x:v>㈜배상면주가 (Bae Sang Myun Brewery Co., Ltd.) is a distilled soju producer operating in South Korea. Public sources identify it as the producer of 느린마을소주. The producer appears in a public product list, but its continuing production and sales status should be confirmed before registration.</x:v>
      </x:c>
      <x:c r="K7" s="17" t="str">
        <x:v>느린마을소주</x:v>
      </x:c>
      <x:c r="L7" s="17" t="str">
        <x:v>증류식</x:v>
      </x:c>
      <x:c r="M7" s="17" t="str">
        <x:v>공공 제품 목록 등재 확인; 2026 독립 판매 근거 추가 확인 필요</x:v>
      </x:c>
      <x:c r="N7" s="17" t="str">
        <x:v>https://i.nts.go.kr/llsc/na/ntt/selectNttList.do?bbsId=22830&amp;mi=1511</x:v>
      </x:c>
      <x:c r="O7" s="17" t="str"/>
      <x:c r="P7" s="17" t="str"/>
      <x:c r="Q7" s="17" t="str">
        <x:v>C | 공공자료 확인</x:v>
      </x:c>
      <x:c r="R7" s="17" t="str">
        <x:v>공식 설립연도 미확인</x:v>
      </x:c>
      <x:c r="S7" s="17" t="str">
        <x:v>공식 또는 널리 쓰이는 영문 표기</x:v>
      </x:c>
      <x:c r="T7" s="17" t="str">
        <x:v>제조사에 생산·판매 지속 여부를 확인한 뒤 등록 권장</x:v>
      </x:c>
    </x:row>
    <x:row r="8" ht="78" customHeight="1">
      <x:c r="A8" s="17" t="str">
        <x:v>OTHER</x:v>
      </x:c>
      <x:c r="B8" s="17" t="str">
        <x:v>㈜삼해소주</x:v>
      </x:c>
      <x:c r="C8" s="17" t="str">
        <x:v>Samhaesoju Brewery</x:v>
      </x:c>
      <x:c r="D8" s="17"/>
      <x:c r="E8" s="17" t="str"/>
      <x:c r="F8" s="17" t="str">
        <x:v>(주)삼해소주, ㈜삼해소주, Samhaesoju Brewery, 삼해소주</x:v>
      </x:c>
      <x:c r="G8" s="17" t="str">
        <x:v>대한민국</x:v>
      </x:c>
      <x:c r="H8" s="17" t="str"/>
      <x:c r="I8" s="17" t="str">
        <x:v>㈜삼해소주(Samhaesoju Brewery)은 대한민국에서 운영되는 대한민국의 증류식 소주 제조사입니다. 공개 자료에서 삼해소주의 제조사로 확인됩니다. 공공 목록에는 등재되어 있으나 2026년 생산·판매 지속 여부를 독립 출처로 추가 확인해야 합니다.</x:v>
      </x:c>
      <x:c r="J8" s="17" t="str">
        <x:v>㈜삼해소주 (Samhaesoju Brewery) is a distilled soju producer operating in South Korea. Public sources identify it as the producer of 삼해소주. The producer appears in a public product list, but its continuing production and sales status should be confirmed before registration.</x:v>
      </x:c>
      <x:c r="K8" s="17" t="str">
        <x:v>삼해소주</x:v>
      </x:c>
      <x:c r="L8" s="17" t="str">
        <x:v>증류식</x:v>
      </x:c>
      <x:c r="M8" s="17" t="str">
        <x:v>공공 제품 목록 등재 확인; 2026 독립 판매 근거 추가 확인 필요</x:v>
      </x:c>
      <x:c r="N8" s="17" t="str">
        <x:v>https://i.nts.go.kr/llsc/na/ntt/selectNttList.do?bbsId=22830&amp;mi=1511</x:v>
      </x:c>
      <x:c r="O8" s="17" t="str"/>
      <x:c r="P8" s="17" t="str"/>
      <x:c r="Q8" s="17" t="str">
        <x:v>C | 공공자료 확인</x:v>
      </x:c>
      <x:c r="R8" s="17" t="str">
        <x:v>공식 설립연도 미확인</x:v>
      </x:c>
      <x:c r="S8" s="17" t="str">
        <x:v>권장 로마자 표기 — 등록 전 공식 표기 확인</x:v>
      </x:c>
      <x:c r="T8" s="17" t="str">
        <x:v>제조사에 생산·판매 지속 여부를 확인한 뒤 등록 권장</x:v>
      </x:c>
    </x:row>
    <x:row r="9" ht="78" customHeight="1">
      <x:c r="A9" s="17" t="str">
        <x:v>OTHER</x:v>
      </x:c>
      <x:c r="B9" s="17" t="str">
        <x:v>농업회사법인 ㈜스마트브루어리</x:v>
      </x:c>
      <x:c r="C9" s="17" t="str">
        <x:v>Seumateubeurueori Brewery</x:v>
      </x:c>
      <x:c r="D9" s="17"/>
      <x:c r="E9" s="17" t="str"/>
      <x:c r="F9" s="17" t="str">
        <x:v>농업회사법인(주)스마트브루어리, 농업회사법인 ㈜스마트브루어리, Seumateubeurueori Brewery, 증류식소주마한, 청람, 순쌀소주 에스원</x:v>
      </x:c>
      <x:c r="G9" s="17" t="str">
        <x:v>대한민국</x:v>
      </x:c>
      <x:c r="H9" s="17" t="str"/>
      <x:c r="I9" s="17" t="str">
        <x:v>농업회사법인 ㈜스마트브루어리(Seumateubeurueori Brewery)은 대한민국에서 운영되는 대한민국의 증류식 소주 제조사입니다. 공개 자료에서 증류식소주마한·청람·순쌀소주 에스원의 제조사로 확인됩니다. 공공 목록에는 등재되어 있으나 2026년 생산·판매 지속 여부를 독립 출처로 추가 확인해야 합니다.</x:v>
      </x:c>
      <x:c r="J9" s="17" t="str">
        <x:v>농업회사법인 ㈜스마트브루어리 (Seumateubeurueori Brewery) is a distilled soju producer operating in South Korea. Public sources identify it as the producer of 증류식소주마한·청람·순쌀소주 에스원. The producer appears in a public product list, but its continuing production and sales status should be confirmed before registration.</x:v>
      </x:c>
      <x:c r="K9" s="17" t="str">
        <x:v>증류식소주마한, 청람, 순쌀소주 에스원</x:v>
      </x:c>
      <x:c r="L9" s="17" t="str">
        <x:v>증류식</x:v>
      </x:c>
      <x:c r="M9" s="17" t="str">
        <x:v>공공 제품 목록 등재 확인; 2026 독립 판매 근거 추가 확인 필요</x:v>
      </x:c>
      <x:c r="N9" s="17" t="str">
        <x:v>https://i.nts.go.kr/llsc/na/ntt/selectNttList.do?bbsId=22830&amp;mi=1511</x:v>
      </x:c>
      <x:c r="O9" s="17" t="str"/>
      <x:c r="P9" s="17" t="str"/>
      <x:c r="Q9" s="17" t="str">
        <x:v>C | 공공자료 확인</x:v>
      </x:c>
      <x:c r="R9" s="17" t="str">
        <x:v>공식 설립연도 미확인</x:v>
      </x:c>
      <x:c r="S9" s="17" t="str">
        <x:v>권장 로마자 표기 — 등록 전 공식 표기 확인</x:v>
      </x:c>
      <x:c r="T9" s="17" t="str">
        <x:v>제조사에 생산·판매 지속 여부를 확인한 뒤 등록 권장</x:v>
      </x:c>
    </x:row>
    <x:row r="10" ht="78" customHeight="1">
      <x:c r="A10" s="17" t="str">
        <x:v>OTHER</x:v>
      </x:c>
      <x:c r="B10" s="17" t="str">
        <x:v>농업회사법인 송도향(유)</x:v>
      </x:c>
      <x:c r="C10" s="17" t="str">
        <x:v>Songdohyang Brewery</x:v>
      </x:c>
      <x:c r="D10" s="17"/>
      <x:c r="E10" s="17" t="str"/>
      <x:c r="F10" s="17" t="str">
        <x:v>농업회사법인송도향(유), 농업회사법인 송도향(유), Songdohyang Brewery, 삼양춘 소주35</x:v>
      </x:c>
      <x:c r="G10" s="17" t="str">
        <x:v>대한민국</x:v>
      </x:c>
      <x:c r="H10" s="17" t="str"/>
      <x:c r="I10" s="17" t="str">
        <x:v>농업회사법인 송도향(유)(Songdohyang Brewery)은 대한민국에서 운영되는 대한민국의 증류식 소주 제조사입니다. 공개 자료에서 삼양춘 소주35의 제조사로 확인됩니다. 공공 목록에는 등재되어 있으나 2026년 생산·판매 지속 여부를 독립 출처로 추가 확인해야 합니다.</x:v>
      </x:c>
      <x:c r="J10" s="17" t="str">
        <x:v>농업회사법인 송도향(유) (Songdohyang Brewery) is a distilled soju producer operating in South Korea. Public sources identify it as the producer of 삼양춘 소주35. The producer appears in a public product list, but its continuing production and sales status should be confirmed before registration.</x:v>
      </x:c>
      <x:c r="K10" s="17" t="str">
        <x:v>삼양춘 소주35</x:v>
      </x:c>
      <x:c r="L10" s="17" t="str">
        <x:v>증류식</x:v>
      </x:c>
      <x:c r="M10" s="17" t="str">
        <x:v>공공 제품 목록 등재 확인; 2026 독립 판매 근거 추가 확인 필요</x:v>
      </x:c>
      <x:c r="N10" s="17" t="str">
        <x:v>https://i.nts.go.kr/llsc/na/ntt/selectNttList.do?bbsId=22830&amp;mi=1511</x:v>
      </x:c>
      <x:c r="O10" s="17" t="str"/>
      <x:c r="P10" s="17" t="str"/>
      <x:c r="Q10" s="17" t="str">
        <x:v>C | 공공자료 확인</x:v>
      </x:c>
      <x:c r="R10" s="17" t="str">
        <x:v>공식 설립연도 미확인</x:v>
      </x:c>
      <x:c r="S10" s="17" t="str">
        <x:v>권장 로마자 표기 — 등록 전 공식 표기 확인</x:v>
      </x:c>
      <x:c r="T10" s="17" t="str">
        <x:v>제조사에 생산·판매 지속 여부를 확인한 뒤 등록 권장</x:v>
      </x:c>
    </x:row>
    <x:row r="11" ht="78" customHeight="1">
      <x:c r="A11" s="17" t="str">
        <x:v>OTHER</x:v>
      </x:c>
      <x:c r="B11" s="17" t="str">
        <x:v>민속주안동소주</x:v>
      </x:c>
      <x:c r="C11" s="17" t="str">
        <x:v>Minsokju Andong Soju</x:v>
      </x:c>
      <x:c r="D11" s="17"/>
      <x:c r="E11" s="17" t="str"/>
      <x:c r="F11" s="17" t="str">
        <x:v>민속주안동소주, Minsokju Andong Soju, 민속주 안동소주</x:v>
      </x:c>
      <x:c r="G11" s="17" t="str">
        <x:v>대한민국</x:v>
      </x:c>
      <x:c r="H11" s="17" t="str">
        <x:v>경상북도</x:v>
      </x:c>
      <x:c r="I11" s="17" t="str">
        <x:v>민속주안동소주(Minsokju Andong Soju)은 경상북도에 기반을 둔 대한민국의 증류식 소주 제조사입니다. 공개 자료에서 민속주 안동소주의 제조사로 확인됩니다. 공개 제품 설명에는 쌀·누룩·국 등을 원료로 사용하는 내용이 확인됩니다. 공공 목록에는 등재되어 있으나 2026년 생산·판매 지속 여부를 독립 출처로 추가 확인해야 합니다.</x:v>
      </x:c>
      <x:c r="J11" s="17" t="str">
        <x:v>민속주안동소주 (Minsokju Andong Soju) is a distilled soju producer based in Gyeongsangbuk-do, South Korea. Public sources identify it as the producer of 민속주 안동소주. Published product information refers to ingredients including 쌀·누룩·국. The producer appears in a public product list, but its continuing production and sales status should be confirmed before registration.</x:v>
      </x:c>
      <x:c r="K11" s="17" t="str">
        <x:v>민속주 안동소주</x:v>
      </x:c>
      <x:c r="L11" s="17" t="str">
        <x:v>증류식</x:v>
      </x:c>
      <x:c r="M11" s="17" t="str">
        <x:v>공공 제품 목록 등재 확인; 2026 독립 판매 근거 추가 확인 필요</x:v>
      </x:c>
      <x:c r="N11" s="17" t="str">
        <x:v>https://thesool.com/front/find/M000000082/view.do?productId=PR00000491</x:v>
      </x:c>
      <x:c r="O11" s="17" t="str"/>
      <x:c r="P11" s="17" t="str"/>
      <x:c r="Q11" s="17" t="str">
        <x:v>C | 공공자료 확인</x:v>
      </x:c>
      <x:c r="R11" s="17" t="str">
        <x:v>공식 설립연도 미확인</x:v>
      </x:c>
      <x:c r="S11" s="17" t="str">
        <x:v>공식 또는 널리 쓰이는 영문 표기</x:v>
      </x:c>
      <x:c r="T11" s="17" t="str">
        <x:v>제조사에 생산·판매 지속 여부를 확인한 뒤 등록 권장</x:v>
      </x:c>
    </x:row>
    <x:row r="12" ht="78" customHeight="1">
      <x:c r="A12" s="17" t="str">
        <x:v>OTHER</x:v>
      </x:c>
      <x:c r="B12" s="17" t="str">
        <x:v>설악프로방스 배꽃마을 농업회사법인㈜</x:v>
      </x:c>
      <x:c r="C12" s="17" t="str">
        <x:v>Seolakpeurobangseu Baekkotmaeul Brewery</x:v>
      </x:c>
      <x:c r="D12" s="17"/>
      <x:c r="E12" s="17" t="str"/>
      <x:c r="F12" s="17" t="str">
        <x:v>설악프로방스배꽃마을, 설악프로방스 배꽃마을 농업회사법인(주), 설악프로방스 배꽃마을 농업회사법인㈜, Seolakpeurobangseu Baekkotmaeul Brewery, 독도소주, 동해소주, 설이소주</x:v>
      </x:c>
      <x:c r="G12" s="17" t="str">
        <x:v>대한민국</x:v>
      </x:c>
      <x:c r="H12" s="17" t="str">
        <x:v>강원도</x:v>
      </x:c>
      <x:c r="I12" s="17" t="str">
        <x:v>설악프로방스 배꽃마을 농업회사법인㈜(Seolakpeurobangseu Baekkotmaeul Brewery)은 강원도에 기반을 둔 대한민국의 증류식 소주 제조사입니다. 공개 자료에서 독도소주·동해소주·설이소주의 제조사로 확인됩니다. 공개 제품 설명에는 쌀 등을 원료로 사용하는 내용이 확인됩니다. 공공 목록에는 등재되어 있으나 2026년 생산·판매 지속 여부를 독립 출처로 추가 확인해야 합니다.</x:v>
      </x:c>
      <x:c r="J12" s="17" t="str">
        <x:v>설악프로방스 배꽃마을 농업회사법인㈜ (Seolakpeurobangseu Baekkotmaeul Brewery) is a distilled soju producer based in Gangwon-do, South Korea. Public sources identify it as the producer of 독도소주·동해소주·설이소주. Published product information refers to ingredients including 쌀. The producer appears in a public product list, but its continuing production and sales status should be confirmed before registration.</x:v>
      </x:c>
      <x:c r="K12" s="17" t="str">
        <x:v>독도소주, 동해소주, 설이소주</x:v>
      </x:c>
      <x:c r="L12" s="17" t="str">
        <x:v>증류식</x:v>
      </x:c>
      <x:c r="M12" s="17" t="str">
        <x:v>공공 제품 목록 등재 확인; 2026 독립 판매 근거 추가 확인 필요</x:v>
      </x:c>
      <x:c r="N12" s="17" t="str">
        <x:v>https://thesool.com/front/find/M000000082/view.do?productId=PR00000852</x:v>
      </x:c>
      <x:c r="O12" s="17" t="str">
        <x:v>https://i.nts.go.kr/llsc/na/ntt/selectNttList.do?bbsId=22830&amp;mi=1511</x:v>
      </x:c>
      <x:c r="P12" s="17" t="str">
        <x:v>https://i.nts.go.kr/llsc/na/ntt/selectNttList.do?bbsId=22830&amp;mi=1511</x:v>
      </x:c>
      <x:c r="Q12" s="17" t="str">
        <x:v>C | 공공자료 확인</x:v>
      </x:c>
      <x:c r="R12" s="17" t="str">
        <x:v>공식 설립연도 미확인</x:v>
      </x:c>
      <x:c r="S12" s="17" t="str">
        <x:v>권장 로마자 표기 — 등록 전 공식 표기 확인</x:v>
      </x:c>
      <x:c r="T12" s="17" t="str">
        <x:v>제조사에 생산·판매 지속 여부를 확인한 뒤 등록 권장</x:v>
      </x:c>
    </x:row>
    <x:row r="13" ht="78" customHeight="1">
      <x:c r="A13" s="17" t="str">
        <x:v>OTHER</x:v>
      </x:c>
      <x:c r="B13" s="17" t="str">
        <x:v>전통주연구개발원</x:v>
      </x:c>
      <x:c r="C13" s="17" t="str">
        <x:v>Jeontongjuyeongugaebalwon Brewery</x:v>
      </x:c>
      <x:c r="D13" s="17"/>
      <x:c r="E13" s="17" t="str"/>
      <x:c r="F13" s="17" t="str">
        <x:v>전통주연구개발원, Jeontongjuyeongugaebalwon Brewery, 진주이슬</x:v>
      </x:c>
      <x:c r="G13" s="17" t="str">
        <x:v>대한민국</x:v>
      </x:c>
      <x:c r="H13" s="17" t="str"/>
      <x:c r="I13" s="17" t="str">
        <x:v>전통주연구개발원(Jeontongjuyeongugaebalwon Brewery)은 대한민국에서 운영되는 대한민국의 증류식 소주 제조사입니다. 공개 자료에서 진주이슬의 제조사로 확인됩니다. 공공 목록에는 등재되어 있으나 2026년 생산·판매 지속 여부를 독립 출처로 추가 확인해야 합니다.</x:v>
      </x:c>
      <x:c r="J13" s="17" t="str">
        <x:v>전통주연구개발원 (Jeontongjuyeongugaebalwon Brewery) is a distilled soju producer operating in South Korea. Public sources identify it as the producer of 진주이슬. The producer appears in a public product list, but its continuing production and sales status should be confirmed before registration.</x:v>
      </x:c>
      <x:c r="K13" s="17" t="str">
        <x:v>진주이슬</x:v>
      </x:c>
      <x:c r="L13" s="17" t="str">
        <x:v>증류식</x:v>
      </x:c>
      <x:c r="M13" s="17" t="str">
        <x:v>공공 제품 목록 등재 확인; 2026 독립 판매 근거 추가 확인 필요</x:v>
      </x:c>
      <x:c r="N13" s="17" t="str">
        <x:v>https://i.nts.go.kr/llsc/na/ntt/selectNttList.do?bbsId=22830&amp;mi=1511</x:v>
      </x:c>
      <x:c r="O13" s="17" t="str"/>
      <x:c r="P13" s="17" t="str"/>
      <x:c r="Q13" s="17" t="str">
        <x:v>C | 공공자료 확인</x:v>
      </x:c>
      <x:c r="R13" s="17" t="str">
        <x:v>공식 설립연도 미확인</x:v>
      </x:c>
      <x:c r="S13" s="17" t="str">
        <x:v>권장 로마자 표기 — 등록 전 공식 표기 확인</x:v>
      </x:c>
      <x:c r="T13" s="17" t="str">
        <x:v>제조사에 생산·판매 지속 여부를 확인한 뒤 등록 권장</x:v>
      </x:c>
    </x:row>
    <x:row r="14" ht="78" customHeight="1">
      <x:c r="A14" s="17" t="str">
        <x:v>OTHER</x:v>
      </x:c>
      <x:c r="B14" s="17" t="str">
        <x:v>지랜드 영농조합법인</x:v>
      </x:c>
      <x:c r="C14" s="17" t="str">
        <x:v>Jiraendeu Brewery</x:v>
      </x:c>
      <x:c r="D14" s="17"/>
      <x:c r="E14" s="17" t="str"/>
      <x:c r="F14" s="17" t="str">
        <x:v>지랜드 영농조합법인, Jiraendeu Brewery, 이화소주</x:v>
      </x:c>
      <x:c r="G14" s="17" t="str">
        <x:v>대한민국</x:v>
      </x:c>
      <x:c r="H14" s="17" t="str"/>
      <x:c r="I14" s="17" t="str">
        <x:v>지랜드 영농조합법인(Jiraendeu Brewery)은 대한민국에서 운영되는 대한민국의 증류식 소주 제조사입니다. 공개 자료에서 이화소주의 제조사로 확인됩니다. 공공 목록에는 등재되어 있으나 2026년 생산·판매 지속 여부를 독립 출처로 추가 확인해야 합니다.</x:v>
      </x:c>
      <x:c r="J14" s="17" t="str">
        <x:v>지랜드 영농조합법인 (Jiraendeu Brewery) is a distilled soju producer operating in South Korea. Public sources identify it as the producer of 이화소주. The producer appears in a public product list, but its continuing production and sales status should be confirmed before registration.</x:v>
      </x:c>
      <x:c r="K14" s="17" t="str">
        <x:v>이화소주</x:v>
      </x:c>
      <x:c r="L14" s="17" t="str">
        <x:v>증류식</x:v>
      </x:c>
      <x:c r="M14" s="17" t="str">
        <x:v>공공 제품 목록 등재 확인; 2026 독립 판매 근거 추가 확인 필요</x:v>
      </x:c>
      <x:c r="N14" s="17" t="str">
        <x:v>https://i.nts.go.kr/llsc/na/ntt/selectNttList.do?bbsId=22830&amp;mi=1511</x:v>
      </x:c>
      <x:c r="O14" s="17" t="str"/>
      <x:c r="P14" s="17" t="str"/>
      <x:c r="Q14" s="17" t="str">
        <x:v>C | 공공자료 확인</x:v>
      </x:c>
      <x:c r="R14" s="17" t="str">
        <x:v>공식 설립연도 미확인</x:v>
      </x:c>
      <x:c r="S14" s="17" t="str">
        <x:v>권장 로마자 표기 — 등록 전 공식 표기 확인</x:v>
      </x:c>
      <x:c r="T14" s="17" t="str">
        <x:v>제조사에 생산·판매 지속 여부를 확인한 뒤 등록 권장</x:v>
      </x:c>
    </x:row>
    <x:row r="15" ht="78" customHeight="1">
      <x:c r="A15" s="17" t="str">
        <x:v>OTHER</x:v>
      </x:c>
      <x:c r="B15" s="17" t="str">
        <x:v>(주)국순당</x:v>
      </x:c>
      <x:c r="C15" s="17" t="str">
        <x:v>Guksundang Brewery</x:v>
      </x:c>
      <x:c r="D15" s="17"/>
      <x:c r="E15" s="17" t="str"/>
      <x:c r="F15" s="17" t="str">
        <x:v>(주)국순당, Guksundang Brewery, 가브리엘</x:v>
      </x:c>
      <x:c r="G15" s="17" t="str">
        <x:v>대한민국</x:v>
      </x:c>
      <x:c r="H15" s="17" t="str"/>
      <x:c r="I15" s="17" t="str">
        <x:v>(주)국순당(Guksundang Brewery)은 대한민국에서 운영되는 대한민국의 증류식 소주 제조사입니다. 공개 자료에서 가브리엘의 제조사로 확인됩니다. 공공 목록에는 등재되어 있으나 2026년 생산·판매 지속 여부를 독립 출처로 추가 확인해야 합니다.</x:v>
      </x:c>
      <x:c r="J15" s="17" t="str">
        <x:v>(주)국순당 (Guksundang Brewery) is a distilled soju producer operating in South Korea. Public sources identify it as the producer of 가브리엘. The producer appears in a public product list, but its continuing production and sales status should be confirmed before registration.</x:v>
      </x:c>
      <x:c r="K15" s="17" t="str">
        <x:v>가브리엘</x:v>
      </x:c>
      <x:c r="L15" s="17" t="str">
        <x:v>증류식</x:v>
      </x:c>
      <x:c r="M15" s="17" t="str">
        <x:v>증류주 목록에는 있으나 소주 법정 주종·2026 활동 여부 확인 필요</x:v>
      </x:c>
      <x:c r="N15" s="17" t="str">
        <x:v>https://i.nts.go.kr/llsc/na/ntt/selectNttList.do?bbsId=22830&amp;mi=1511</x:v>
      </x:c>
      <x:c r="O15" s="17" t="str"/>
      <x:c r="P15" s="17" t="str"/>
      <x:c r="Q15" s="17" t="str">
        <x:v>D | 품목 확인 필요</x:v>
      </x:c>
      <x:c r="R15" s="17" t="str">
        <x:v>공식 설립연도 미확인</x:v>
      </x:c>
      <x:c r="S15" s="17" t="str">
        <x:v>권장 로마자 표기 — 등록 전 공식 표기 확인</x:v>
      </x:c>
      <x:c r="T15" s="17" t="str">
        <x:v>제품 라벨 또는 품목제조보고의 주종이 ‘증류식소주’인지 확인 필요</x:v>
      </x:c>
    </x:row>
    <x:row r="16" ht="78" customHeight="1">
      <x:c r="A16" s="17" t="str">
        <x:v>OTHER</x:v>
      </x:c>
      <x:c r="B16" s="17" t="str">
        <x:v>(주)버버리찰떡</x:v>
      </x:c>
      <x:c r="C16" s="17" t="str">
        <x:v>Beobeorichaltteok Brewery</x:v>
      </x:c>
      <x:c r="D16" s="17"/>
      <x:c r="E16" s="17" t="str"/>
      <x:c r="F16" s="17" t="str">
        <x:v>(주)버버리찰떡, Beobeorichaltteok Brewery</x:v>
      </x:c>
      <x:c r="G16" s="17" t="str">
        <x:v>대한민국</x:v>
      </x:c>
      <x:c r="H16" s="17" t="str"/>
      <x:c r="I16" s="17" t="str">
        <x:v>(주)버버리찰떡(Beobeorichaltteok Brewery)은 대한민국에서 운영되는 대한민국의 증류식 소주 제조사입니다. 공개 자료에서 공개 확인 제품의 제조사로 확인됩니다. 공공 목록에는 등재되어 있으나 2026년 생산·판매 지속 여부를 독립 출처로 추가 확인해야 합니다.</x:v>
      </x:c>
      <x:c r="J16" s="17" t="str">
        <x:v>(주)버버리찰떡 (Beobeorichaltteok Brewery) is a distilled soju producer operating in South Korea. Public sources identify it as the producer of 공개 확인 제품. The producer appears in a public product list, but its continuing production and sales status should be confirmed before registration.</x:v>
      </x:c>
      <x:c r="K16" s="17" t="str"/>
      <x:c r="L16" s="17" t="str">
        <x:v>증류식</x:v>
      </x:c>
      <x:c r="M16" s="17" t="str">
        <x:v>증류주 목록에는 있으나 소주 법정 주종·2026 활동 여부 확인 필요</x:v>
      </x:c>
      <x:c r="N16" s="17" t="str">
        <x:v>https://i.nts.go.kr/llsc/na/ntt/selectNttList.do?bbsId=22830&amp;mi=1511</x:v>
      </x:c>
      <x:c r="O16" s="17" t="str"/>
      <x:c r="P16" s="17" t="str"/>
      <x:c r="Q16" s="17" t="str">
        <x:v>D | 품목 확인 필요</x:v>
      </x:c>
      <x:c r="R16" s="17" t="str">
        <x:v>공식 설립연도 미확인</x:v>
      </x:c>
      <x:c r="S16" s="17" t="str">
        <x:v>권장 로마자 표기 — 등록 전 공식 표기 확인</x:v>
      </x:c>
      <x:c r="T16" s="17" t="str">
        <x:v>제품 라벨 또는 품목제조보고의 주종이 ‘증류식소주’인지 확인 필요</x:v>
      </x:c>
    </x:row>
    <x:row r="17" ht="78" customHeight="1">
      <x:c r="A17" s="17" t="str">
        <x:v>OTHER</x:v>
      </x:c>
      <x:c r="B17" s="17" t="str">
        <x:v>(주)성광주조</x:v>
      </x:c>
      <x:c r="C17" s="17" t="str">
        <x:v>Seonggwangjujo Brewery</x:v>
      </x:c>
      <x:c r="D17" s="17"/>
      <x:c r="E17" s="17" t="str"/>
      <x:c r="F17" s="17" t="str">
        <x:v>(주)성광주조, Seonggwangjujo Brewery, 순옥</x:v>
      </x:c>
      <x:c r="G17" s="17" t="str">
        <x:v>대한민국</x:v>
      </x:c>
      <x:c r="H17" s="17" t="str"/>
      <x:c r="I17" s="17" t="str">
        <x:v>(주)성광주조(Seonggwangjujo Brewery)은 대한민국에서 운영되는 대한민국의 증류식 소주 제조사입니다. 공개 자료에서 순옥의 제조사로 확인됩니다. 공공 목록에는 등재되어 있으나 2026년 생산·판매 지속 여부를 독립 출처로 추가 확인해야 합니다.</x:v>
      </x:c>
      <x:c r="J17" s="17" t="str">
        <x:v>(주)성광주조 (Seonggwangjujo Brewery) is a distilled soju producer operating in South Korea. Public sources identify it as the producer of 순옥. The producer appears in a public product list, but its continuing production and sales status should be confirmed before registration.</x:v>
      </x:c>
      <x:c r="K17" s="17" t="str">
        <x:v>순옥</x:v>
      </x:c>
      <x:c r="L17" s="17" t="str">
        <x:v>증류식</x:v>
      </x:c>
      <x:c r="M17" s="17" t="str">
        <x:v>증류주 목록에는 있으나 소주 법정 주종·2026 활동 여부 확인 필요</x:v>
      </x:c>
      <x:c r="N17" s="17" t="str">
        <x:v>https://i.nts.go.kr/llsc/na/ntt/selectNttList.do?bbsId=22830&amp;mi=1511</x:v>
      </x:c>
      <x:c r="O17" s="17" t="str"/>
      <x:c r="P17" s="17" t="str"/>
      <x:c r="Q17" s="17" t="str">
        <x:v>D | 품목 확인 필요</x:v>
      </x:c>
      <x:c r="R17" s="17" t="str">
        <x:v>공식 설립연도 미확인</x:v>
      </x:c>
      <x:c r="S17" s="17" t="str">
        <x:v>권장 로마자 표기 — 등록 전 공식 표기 확인</x:v>
      </x:c>
      <x:c r="T17" s="17" t="str">
        <x:v>제품 라벨 또는 품목제조보고의 주종이 ‘증류식소주’인지 확인 필요</x:v>
      </x:c>
    </x:row>
    <x:row r="18" ht="78" customHeight="1">
      <x:c r="A18" s="17" t="str">
        <x:v>OTHER</x:v>
      </x:c>
      <x:c r="B18" s="17" t="str">
        <x:v>(주)제주소주</x:v>
      </x:c>
      <x:c r="C18" s="17" t="str">
        <x:v>Jejusoju Brewery</x:v>
      </x:c>
      <x:c r="D18" s="17"/>
      <x:c r="E18" s="17" t="str"/>
      <x:c r="F18" s="17" t="str">
        <x:v>(주)제주소주, Jejusoju Brewery, 푸른밤짧은밤, 푸른밤긴밤</x:v>
      </x:c>
      <x:c r="G18" s="17" t="str">
        <x:v>대한민국</x:v>
      </x:c>
      <x:c r="H18" s="17" t="str"/>
      <x:c r="I18" s="17" t="str">
        <x:v>(주)제주소주(Jejusoju Brewery)은 대한민국에서 운영되는 대한민국의 증류식 소주 제조사입니다. 공개 자료에서 푸른밤짧은밤·푸른밤긴밤의 제조사로 확인됩니다. 공공 목록에는 등재되어 있으나 2026년 생산·판매 지속 여부를 독립 출처로 추가 확인해야 합니다.</x:v>
      </x:c>
      <x:c r="J18" s="17" t="str">
        <x:v>(주)제주소주 (Jejusoju Brewery) is a distilled soju producer operating in South Korea. Public sources identify it as the producer of 푸른밤짧은밤·푸른밤긴밤. The producer appears in a public product list, but its continuing production and sales status should be confirmed before registration.</x:v>
      </x:c>
      <x:c r="K18" s="17" t="str">
        <x:v>푸른밤짧은밤, 푸른밤긴밤</x:v>
      </x:c>
      <x:c r="L18" s="17" t="str">
        <x:v>증류식</x:v>
      </x:c>
      <x:c r="M18" s="17" t="str">
        <x:v>증류주 목록에는 있으나 소주 법정 주종·2026 활동 여부 확인 필요</x:v>
      </x:c>
      <x:c r="N18" s="17" t="str">
        <x:v>https://i.nts.go.kr/llsc/na/ntt/selectNttList.do?bbsId=22830&amp;mi=1511</x:v>
      </x:c>
      <x:c r="O18" s="17" t="str"/>
      <x:c r="P18" s="17" t="str"/>
      <x:c r="Q18" s="17" t="str">
        <x:v>D | 품목 확인 필요</x:v>
      </x:c>
      <x:c r="R18" s="17" t="str">
        <x:v>공식 설립연도 미확인</x:v>
      </x:c>
      <x:c r="S18" s="17" t="str">
        <x:v>권장 로마자 표기 — 등록 전 공식 표기 확인</x:v>
      </x:c>
      <x:c r="T18" s="17" t="str">
        <x:v>제품 라벨 또는 품목제조보고의 주종이 ‘증류식소주’인지 확인 필요</x:v>
      </x:c>
    </x:row>
    <x:row r="19" ht="78" customHeight="1">
      <x:c r="A19" s="17" t="str">
        <x:v>OTHER</x:v>
      </x:c>
      <x:c r="B19" s="17" t="str">
        <x:v>내국양조</x:v>
      </x:c>
      <x:c r="C19" s="17" t="str">
        <x:v>Naegukyangjo Brewery</x:v>
      </x:c>
      <x:c r="D19" s="17"/>
      <x:c r="E19" s="17" t="str">
        <x:v>https://naekook.modoo.at/</x:v>
      </x:c>
      <x:c r="F19" s="17" t="str">
        <x:v>내국양조, Naegukyangjo Brewery, 하늘</x:v>
      </x:c>
      <x:c r="G19" s="17" t="str">
        <x:v>대한민국</x:v>
      </x:c>
      <x:c r="H19" s="17" t="str">
        <x:v>충청남도</x:v>
      </x:c>
      <x:c r="I19" s="17" t="str">
        <x:v>내국양조(Naegukyangjo Brewery)은 충청남도에 기반을 둔 대한민국의 증류식 소주 제조사입니다. 공개 자료에서 하늘의 제조사로 확인됩니다. 공개 제품 설명에는 보리 등을 원료로 사용하는 내용이 확인됩니다. 공공 목록에는 등재되어 있으나 2026년 생산·판매 지속 여부를 독립 출처로 추가 확인해야 합니다.</x:v>
      </x:c>
      <x:c r="J19" s="17" t="str">
        <x:v>내국양조 (Naegukyangjo Brewery) is a distilled soju producer based in Chungcheongnam-do, South Korea. Public sources identify it as the producer of 하늘. Published product information refers to ingredients including 보리. The producer appears in a public product list, but its continuing production and sales status should be confirmed before registration.</x:v>
      </x:c>
      <x:c r="K19" s="17" t="str">
        <x:v>하늘</x:v>
      </x:c>
      <x:c r="L19" s="17" t="str">
        <x:v>증류식</x:v>
      </x:c>
      <x:c r="M19" s="17" t="str">
        <x:v>증류주 목록에는 있으나 소주 법정 주종·2026 활동 여부 확인 필요</x:v>
      </x:c>
      <x:c r="N19" s="17" t="str">
        <x:v>https://thesool.com/front/find/M000000082/view.do?productId=PR00000895</x:v>
      </x:c>
      <x:c r="O19" s="17" t="str">
        <x:v>https://naekook.modoo.at/</x:v>
      </x:c>
      <x:c r="P19" s="17" t="str"/>
      <x:c r="Q19" s="17" t="str">
        <x:v>D | 품목 확인 필요</x:v>
      </x:c>
      <x:c r="R19" s="17" t="str">
        <x:v>공식 설립연도 미확인</x:v>
      </x:c>
      <x:c r="S19" s="17" t="str">
        <x:v>권장 로마자 표기 — 등록 전 공식 표기 확인</x:v>
      </x:c>
      <x:c r="T19" s="17" t="str">
        <x:v>제품 라벨 또는 품목제조보고의 주종이 ‘증류식소주’인지 확인 필요</x:v>
      </x:c>
    </x:row>
    <x:row r="20" ht="78" customHeight="1">
      <x:c r="A20" s="17" t="str">
        <x:v>OTHER</x:v>
      </x:c>
      <x:c r="B20" s="17" t="str">
        <x:v>농업회사법인 명세주가㈜</x:v>
      </x:c>
      <x:c r="C20" s="17" t="str">
        <x:v>Myeongsejuga Brewery</x:v>
      </x:c>
      <x:c r="D20" s="17"/>
      <x:c r="E20" s="17" t="str"/>
      <x:c r="F20" s="17" t="str">
        <x:v>농업회사법인 명세주가(주), 명세주가(주), 농업회사법인 명세주가㈜, Myeongsejuga Brewery, 한시울</x:v>
      </x:c>
      <x:c r="G20" s="17" t="str">
        <x:v>대한민국</x:v>
      </x:c>
      <x:c r="H20" s="17" t="str"/>
      <x:c r="I20" s="17" t="str">
        <x:v>농업회사법인 명세주가㈜(Myeongsejuga Brewery)은 대한민국에서 운영되는 대한민국의 증류식 소주 제조사입니다. 공개 자료에서 한시울의 제조사로 확인됩니다. 공공 목록에는 등재되어 있으나 2026년 생산·판매 지속 여부를 독립 출처로 추가 확인해야 합니다.</x:v>
      </x:c>
      <x:c r="J20" s="17" t="str">
        <x:v>농업회사법인 명세주가㈜ (Myeongsejuga Brewery) is a distilled soju producer operating in South Korea. Public sources identify it as the producer of 한시울. The producer appears in a public product list, but its continuing production and sales status should be confirmed before registration.</x:v>
      </x:c>
      <x:c r="K20" s="17" t="str">
        <x:v>한시울</x:v>
      </x:c>
      <x:c r="L20" s="17" t="str">
        <x:v>증류식</x:v>
      </x:c>
      <x:c r="M20" s="17" t="str">
        <x:v>증류주 목록에는 있으나 소주 법정 주종·2026 활동 여부 확인 필요</x:v>
      </x:c>
      <x:c r="N20" s="17" t="str">
        <x:v>https://i.nts.go.kr/llsc/na/ntt/selectNttList.do?bbsId=22830&amp;mi=1511</x:v>
      </x:c>
      <x:c r="O20" s="17" t="str"/>
      <x:c r="P20" s="17" t="str"/>
      <x:c r="Q20" s="17" t="str">
        <x:v>D | 품목 확인 필요</x:v>
      </x:c>
      <x:c r="R20" s="17" t="str">
        <x:v>공식 설립연도 미확인</x:v>
      </x:c>
      <x:c r="S20" s="17" t="str">
        <x:v>권장 로마자 표기 — 등록 전 공식 표기 확인</x:v>
      </x:c>
      <x:c r="T20" s="17" t="str">
        <x:v>제품 라벨 또는 품목제조보고의 주종이 ‘증류식소주’인지 확인 필요</x:v>
      </x:c>
    </x:row>
    <x:row r="21" ht="78" customHeight="1">
      <x:c r="A21" s="17" t="str">
        <x:v>OTHER</x:v>
      </x:c>
      <x:c r="B21" s="17" t="str">
        <x:v>대윤가야곡주조(주)</x:v>
      </x:c>
      <x:c r="C21" s="17" t="str">
        <x:v>Daeyungayagokjujo Brewery</x:v>
      </x:c>
      <x:c r="D21" s="17"/>
      <x:c r="E21" s="17" t="str"/>
      <x:c r="F21" s="17" t="str">
        <x:v>대윤가야곡주조(주), Daeyungayagokjujo Brewery, 셀레온</x:v>
      </x:c>
      <x:c r="G21" s="17" t="str">
        <x:v>대한민국</x:v>
      </x:c>
      <x:c r="H21" s="17" t="str"/>
      <x:c r="I21" s="17" t="str">
        <x:v>대윤가야곡주조(주)(Daeyungayagokjujo Brewery)은 대한민국에서 운영되는 대한민국의 증류식 소주 제조사입니다. 공개 자료에서 셀레온의 제조사로 확인됩니다. 공공 목록에는 등재되어 있으나 2026년 생산·판매 지속 여부를 독립 출처로 추가 확인해야 합니다.</x:v>
      </x:c>
      <x:c r="J21" s="17" t="str">
        <x:v>대윤가야곡주조(주) (Daeyungayagokjujo Brewery) is a distilled soju producer operating in South Korea. Public sources identify it as the producer of 셀레온. The producer appears in a public product list, but its continuing production and sales status should be confirmed before registration.</x:v>
      </x:c>
      <x:c r="K21" s="17" t="str">
        <x:v>셀레온</x:v>
      </x:c>
      <x:c r="L21" s="17" t="str">
        <x:v>증류식</x:v>
      </x:c>
      <x:c r="M21" s="17" t="str">
        <x:v>증류주 목록에는 있으나 소주 법정 주종·2026 활동 여부 확인 필요</x:v>
      </x:c>
      <x:c r="N21" s="17" t="str">
        <x:v>https://i.nts.go.kr/llsc/na/ntt/selectNttList.do?bbsId=22830&amp;mi=1511</x:v>
      </x:c>
      <x:c r="O21" s="17" t="str"/>
      <x:c r="P21" s="17" t="str"/>
      <x:c r="Q21" s="17" t="str">
        <x:v>D | 품목 확인 필요</x:v>
      </x:c>
      <x:c r="R21" s="17" t="str">
        <x:v>공식 설립연도 미확인</x:v>
      </x:c>
      <x:c r="S21" s="17" t="str">
        <x:v>권장 로마자 표기 — 등록 전 공식 표기 확인</x:v>
      </x:c>
      <x:c r="T21" s="17" t="str">
        <x:v>제품 라벨 또는 품목제조보고의 주종이 ‘증류식소주’인지 확인 필요</x:v>
      </x:c>
    </x:row>
    <x:row r="22" ht="78" customHeight="1">
      <x:c r="A22" s="17" t="str">
        <x:v>OTHER</x:v>
      </x:c>
      <x:c r="B22" s="17" t="str">
        <x:v>두루(주)</x:v>
      </x:c>
      <x:c r="C22" s="17" t="str">
        <x:v>Duru Brewery</x:v>
      </x:c>
      <x:c r="D22" s="17"/>
      <x:c r="E22" s="17" t="str"/>
      <x:c r="F22" s="17" t="str">
        <x:v>두루(주), Duru Brewery, 용포53</x:v>
      </x:c>
      <x:c r="G22" s="17" t="str">
        <x:v>대한민국</x:v>
      </x:c>
      <x:c r="H22" s="17" t="str"/>
      <x:c r="I22" s="17" t="str">
        <x:v>두루(주)(Duru Brewery)은 대한민국에서 운영되는 대한민국의 증류식 소주 제조사입니다. 공개 자료에서 용포53의 제조사로 확인됩니다. 공공 목록에는 등재되어 있으나 2026년 생산·판매 지속 여부를 독립 출처로 추가 확인해야 합니다.</x:v>
      </x:c>
      <x:c r="J22" s="17" t="str">
        <x:v>두루(주) (Duru Brewery) is a distilled soju producer operating in South Korea. Public sources identify it as the producer of 용포53. The producer appears in a public product list, but its continuing production and sales status should be confirmed before registration.</x:v>
      </x:c>
      <x:c r="K22" s="17" t="str">
        <x:v>용포53</x:v>
      </x:c>
      <x:c r="L22" s="17" t="str">
        <x:v>증류식</x:v>
      </x:c>
      <x:c r="M22" s="17" t="str">
        <x:v>증류주 목록에는 있으나 소주 법정 주종·2026 활동 여부 확인 필요</x:v>
      </x:c>
      <x:c r="N22" s="17" t="str">
        <x:v>https://i.nts.go.kr/llsc/na/ntt/selectNttList.do?bbsId=22830&amp;mi=1511</x:v>
      </x:c>
      <x:c r="O22" s="17" t="str"/>
      <x:c r="P22" s="17" t="str"/>
      <x:c r="Q22" s="17" t="str">
        <x:v>D | 품목 확인 필요</x:v>
      </x:c>
      <x:c r="R22" s="17" t="str">
        <x:v>공식 설립연도 미확인</x:v>
      </x:c>
      <x:c r="S22" s="17" t="str">
        <x:v>권장 로마자 표기 — 등록 전 공식 표기 확인</x:v>
      </x:c>
      <x:c r="T22" s="17" t="str">
        <x:v>제품 라벨 또는 품목제조보고의 주종이 ‘증류식소주’인지 확인 필요</x:v>
      </x:c>
    </x:row>
    <x:row r="23" ht="78" customHeight="1">
      <x:c r="A23" s="17" t="str">
        <x:v>OTHER</x:v>
      </x:c>
      <x:c r="B23" s="17" t="str">
        <x:v>사곡양조원</x:v>
      </x:c>
      <x:c r="C23" s="17" t="str">
        <x:v>Sagokyangjowon Brewery</x:v>
      </x:c>
      <x:c r="D23" s="17"/>
      <x:c r="E23" s="17" t="str">
        <x:v>https://www.bamsul.com/</x:v>
      </x:c>
      <x:c r="F23" s="17" t="str">
        <x:v>사곡양조원, Sagokyangjowon Brewery, 왕율주</x:v>
      </x:c>
      <x:c r="G23" s="17" t="str">
        <x:v>대한민국</x:v>
      </x:c>
      <x:c r="H23" s="17" t="str">
        <x:v>충청남도</x:v>
      </x:c>
      <x:c r="I23" s="17" t="str">
        <x:v>사곡양조원(Sagokyangjowon Brewery)은 충청남도에 기반을 둔 대한민국의 증류식 소주 제조사입니다. 공개 자료에서 왕율주의 제조사로 확인됩니다. 공개 제품 설명에는 쌀·누룩·국 등을 원료로 사용하는 내용이 확인됩니다. 공공 목록에는 등재되어 있으나 2026년 생산·판매 지속 여부를 독립 출처로 추가 확인해야 합니다.</x:v>
      </x:c>
      <x:c r="J23" s="17" t="str">
        <x:v>사곡양조원 (Sagokyangjowon Brewery) is a distilled soju producer based in Chungcheongnam-do, South Korea. Public sources identify it as the producer of 왕율주. Published product information refers to ingredients including 쌀·누룩·국. The producer appears in a public product list, but its continuing production and sales status should be confirmed before registration.</x:v>
      </x:c>
      <x:c r="K23" s="17" t="str">
        <x:v>왕율주</x:v>
      </x:c>
      <x:c r="L23" s="17" t="str">
        <x:v>증류식</x:v>
      </x:c>
      <x:c r="M23" s="17" t="str">
        <x:v>증류주 목록에는 있으나 소주 법정 주종·2026 활동 여부 확인 필요</x:v>
      </x:c>
      <x:c r="N23" s="17" t="str">
        <x:v>https://thesool.com/front/find/M000000082/view.do?productId=PR00000543</x:v>
      </x:c>
      <x:c r="O23" s="17" t="str">
        <x:v>https://www.bamsul.com/</x:v>
      </x:c>
      <x:c r="P23" s="17" t="str"/>
      <x:c r="Q23" s="17" t="str">
        <x:v>D | 품목 확인 필요</x:v>
      </x:c>
      <x:c r="R23" s="17" t="str">
        <x:v>공식 설립연도 미확인</x:v>
      </x:c>
      <x:c r="S23" s="17" t="str">
        <x:v>권장 로마자 표기 — 등록 전 공식 표기 확인</x:v>
      </x:c>
      <x:c r="T23" s="17" t="str">
        <x:v>제품 라벨 또는 품목제조보고의 주종이 ‘증류식소주’인지 확인 필요</x:v>
      </x:c>
    </x:row>
    <x:row r="24" ht="78" customHeight="1">
      <x:c r="A24" s="17" t="str">
        <x:v>OTHER</x:v>
      </x:c>
      <x:c r="B24" s="17" t="str">
        <x:v>삼수양조</x:v>
      </x:c>
      <x:c r="C24" s="17" t="str">
        <x:v>Samsuyangjo Brewery</x:v>
      </x:c>
      <x:c r="D24" s="17"/>
      <x:c r="E24" s="17" t="str"/>
      <x:c r="F24" s="17" t="str">
        <x:v>삼수양조, Samsuyangjo Brewery, 참샘</x:v>
      </x:c>
      <x:c r="G24" s="17" t="str">
        <x:v>대한민국</x:v>
      </x:c>
      <x:c r="H24" s="17" t="str"/>
      <x:c r="I24" s="17" t="str">
        <x:v>삼수양조(Samsuyangjo Brewery)은 대한민국에서 운영되는 대한민국의 증류식 소주 제조사입니다. 공개 자료에서 참샘의 제조사로 확인됩니다. 공공 목록에는 등재되어 있으나 2026년 생산·판매 지속 여부를 독립 출처로 추가 확인해야 합니다.</x:v>
      </x:c>
      <x:c r="J24" s="17" t="str">
        <x:v>삼수양조 (Samsuyangjo Brewery) is a distilled soju producer operating in South Korea. Public sources identify it as the producer of 참샘. The producer appears in a public product list, but its continuing production and sales status should be confirmed before registration.</x:v>
      </x:c>
      <x:c r="K24" s="17" t="str">
        <x:v>참샘</x:v>
      </x:c>
      <x:c r="L24" s="17" t="str">
        <x:v>증류식</x:v>
      </x:c>
      <x:c r="M24" s="17" t="str">
        <x:v>증류주 목록에는 있으나 소주 법정 주종·2026 활동 여부 확인 필요</x:v>
      </x:c>
      <x:c r="N24" s="17" t="str">
        <x:v>https://i.nts.go.kr/llsc/na/ntt/selectNttList.do?bbsId=22830&amp;mi=1511</x:v>
      </x:c>
      <x:c r="O24" s="17" t="str"/>
      <x:c r="P24" s="17" t="str"/>
      <x:c r="Q24" s="17" t="str">
        <x:v>D | 품목 확인 필요</x:v>
      </x:c>
      <x:c r="R24" s="17" t="str">
        <x:v>공식 설립연도 미확인</x:v>
      </x:c>
      <x:c r="S24" s="17" t="str">
        <x:v>권장 로마자 표기 — 등록 전 공식 표기 확인</x:v>
      </x:c>
      <x:c r="T24" s="17" t="str">
        <x:v>제품 라벨 또는 품목제조보고의 주종이 ‘증류식소주’인지 확인 필요</x:v>
      </x:c>
    </x:row>
    <x:row r="25" ht="78" customHeight="1">
      <x:c r="A25" s="17" t="str">
        <x:v>OTHER</x:v>
      </x:c>
      <x:c r="B25" s="17" t="str">
        <x:v>술아원</x:v>
      </x:c>
      <x:c r="C25" s="17" t="str">
        <x:v>Sulawon Brewery</x:v>
      </x:c>
      <x:c r="D25" s="17"/>
      <x:c r="E25" s="17" t="str">
        <x:v>http://soolawon.co.kr/</x:v>
      </x:c>
      <x:c r="F25" s="17" t="str">
        <x:v>술아원, Sulawon Brewery, 필 25</x:v>
      </x:c>
      <x:c r="G25" s="17" t="str">
        <x:v>대한민국</x:v>
      </x:c>
      <x:c r="H25" s="17" t="str">
        <x:v>경기도</x:v>
      </x:c>
      <x:c r="I25" s="17" t="str">
        <x:v>술아원(Sulawon Brewery)은 경기도에 기반을 둔 대한민국의 증류식 소주 제조사입니다. 공개 자료에서 필 25의 제조사로 확인됩니다. 공개 제품 설명에는 고구마 등을 원료로 사용하는 내용이 확인됩니다. 공공 목록에는 등재되어 있으나 2026년 생산·판매 지속 여부를 독립 출처로 추가 확인해야 합니다.</x:v>
      </x:c>
      <x:c r="J25" s="17" t="str">
        <x:v>술아원 (Sulawon Brewery) is a distilled soju producer based in Gyeonggi-do, South Korea. Public sources identify it as the producer of 필 25. Published product information refers to ingredients including 고구마. The producer appears in a public product list, but its continuing production and sales status should be confirmed before registration.</x:v>
      </x:c>
      <x:c r="K25" s="17" t="str">
        <x:v>필 25</x:v>
      </x:c>
      <x:c r="L25" s="17" t="str">
        <x:v>증류식</x:v>
      </x:c>
      <x:c r="M25" s="17" t="str">
        <x:v>증류주 목록에는 있으나 소주 법정 주종·2026 활동 여부 확인 필요</x:v>
      </x:c>
      <x:c r="N25" s="17" t="str">
        <x:v>https://thesool.com/front/find/M000000082/view.do?productId=PR00001313</x:v>
      </x:c>
      <x:c r="O25" s="17" t="str">
        <x:v>http://soolawon.co.kr/</x:v>
      </x:c>
      <x:c r="P25" s="17" t="str"/>
      <x:c r="Q25" s="17" t="str">
        <x:v>D | 품목 확인 필요</x:v>
      </x:c>
      <x:c r="R25" s="17" t="str">
        <x:v>공식 설립연도 미확인</x:v>
      </x:c>
      <x:c r="S25" s="17" t="str">
        <x:v>권장 로마자 표기 — 등록 전 공식 표기 확인</x:v>
      </x:c>
      <x:c r="T25" s="17" t="str">
        <x:v>제품 라벨 또는 품목제조보고의 주종이 ‘증류식소주’인지 확인 필요</x:v>
      </x:c>
    </x:row>
    <x:row r="26" ht="78" customHeight="1">
      <x:c r="A26" s="17" t="str">
        <x:v>OTHER</x:v>
      </x:c>
      <x:c r="B26" s="17" t="str">
        <x:v>예도</x:v>
      </x:c>
      <x:c r="C26" s="17" t="str">
        <x:v>Yedo Brewery</x:v>
      </x:c>
      <x:c r="D26" s="17"/>
      <x:c r="E26" s="17" t="str"/>
      <x:c r="F26" s="17" t="str">
        <x:v>예도, Yedo Brewery, 금장복주머니올로주</x:v>
      </x:c>
      <x:c r="G26" s="17" t="str">
        <x:v>대한민국</x:v>
      </x:c>
      <x:c r="H26" s="17" t="str"/>
      <x:c r="I26" s="17" t="str">
        <x:v>예도(Yedo Brewery)은 대한민국에서 운영되는 대한민국의 증류식 소주 제조사입니다. 공개 자료에서 금장복주머니올로주의 제조사로 확인됩니다. 공공 목록에는 등재되어 있으나 2026년 생산·판매 지속 여부를 독립 출처로 추가 확인해야 합니다.</x:v>
      </x:c>
      <x:c r="J26" s="17" t="str">
        <x:v>예도 (Yedo Brewery) is a distilled soju producer operating in South Korea. Public sources identify it as the producer of 금장복주머니올로주. The producer appears in a public product list, but its continuing production and sales status should be confirmed before registration.</x:v>
      </x:c>
      <x:c r="K26" s="17" t="str">
        <x:v>금장복주머니올로주</x:v>
      </x:c>
      <x:c r="L26" s="17" t="str">
        <x:v>증류식</x:v>
      </x:c>
      <x:c r="M26" s="17" t="str">
        <x:v>증류주 목록에는 있으나 소주 법정 주종·2026 활동 여부 확인 필요</x:v>
      </x:c>
      <x:c r="N26" s="17" t="str">
        <x:v>https://i.nts.go.kr/llsc/na/ntt/selectNttList.do?bbsId=22830&amp;mi=1511</x:v>
      </x:c>
      <x:c r="O26" s="17" t="str"/>
      <x:c r="P26" s="17" t="str"/>
      <x:c r="Q26" s="17" t="str">
        <x:v>D | 품목 확인 필요</x:v>
      </x:c>
      <x:c r="R26" s="17" t="str">
        <x:v>공식 설립연도 미확인</x:v>
      </x:c>
      <x:c r="S26" s="17" t="str">
        <x:v>권장 로마자 표기 — 등록 전 공식 표기 확인</x:v>
      </x:c>
      <x:c r="T26" s="17" t="str">
        <x:v>제품 라벨 또는 품목제조보고의 주종이 ‘증류식소주’인지 확인 필요</x:v>
      </x:c>
    </x:row>
    <x:row r="27" ht="78" customHeight="1">
      <x:c r="A27" s="17" t="str">
        <x:v>OTHER</x:v>
      </x:c>
      <x:c r="B27" s="17" t="str">
        <x:v>용두산조은술(영)</x:v>
      </x:c>
      <x:c r="C27" s="17" t="str">
        <x:v>Yongdusanjoeunsul Yeong Brewery</x:v>
      </x:c>
      <x:c r="D27" s="17"/>
      <x:c r="E27" s="17" t="str"/>
      <x:c r="F27" s="17" t="str">
        <x:v>용두산조은술(영), Yongdusanjoeunsul Yeong Brewery, 소나무와 학</x:v>
      </x:c>
      <x:c r="G27" s="17" t="str">
        <x:v>대한민국</x:v>
      </x:c>
      <x:c r="H27" s="17" t="str"/>
      <x:c r="I27" s="17" t="str">
        <x:v>용두산조은술(영)(Yongdusanjoeunsul Yeong Brewery)은 대한민국에서 운영되는 대한민국의 증류식 소주 제조사입니다. 공개 자료에서 소나무와 학의 제조사로 확인됩니다. 공개 제품 설명에는 쌀 등을 원료로 사용하는 내용이 확인됩니다. 공공 목록에는 등재되어 있으나 2026년 생산·판매 지속 여부를 독립 출처로 추가 확인해야 합니다.</x:v>
      </x:c>
      <x:c r="J27" s="17" t="str">
        <x:v>용두산조은술(영) (Yongdusanjoeunsul Yeong Brewery) is a distilled soju producer operating in South Korea. Public sources identify it as the producer of 소나무와 학. Published product information refers to ingredients including 쌀. The producer appears in a public product list, but its continuing production and sales status should be confirmed before registration.</x:v>
      </x:c>
      <x:c r="K27" s="17" t="str">
        <x:v>소나무와 학</x:v>
      </x:c>
      <x:c r="L27" s="17" t="str">
        <x:v>증류식</x:v>
      </x:c>
      <x:c r="M27" s="17" t="str">
        <x:v>증류주 목록에는 있으나 소주 법정 주종·2026 활동 여부 확인 필요</x:v>
      </x:c>
      <x:c r="N27" s="17" t="str">
        <x:v>https://thesool.com/front/find/M000000082/view.do?productId=PR00000581</x:v>
      </x:c>
      <x:c r="O27" s="17" t="str"/>
      <x:c r="P27" s="17" t="str"/>
      <x:c r="Q27" s="17" t="str">
        <x:v>D | 품목 확인 필요</x:v>
      </x:c>
      <x:c r="R27" s="17" t="str">
        <x:v>공식 설립연도 미확인</x:v>
      </x:c>
      <x:c r="S27" s="17" t="str">
        <x:v>권장 로마자 표기 — 등록 전 공식 표기 확인</x:v>
      </x:c>
      <x:c r="T27" s="17" t="str">
        <x:v>제품 라벨 또는 품목제조보고의 주종이 ‘증류식소주’인지 확인 필요</x:v>
      </x:c>
    </x:row>
    <x:row r="28" ht="78" customHeight="1">
      <x:c r="A28" s="17" t="str">
        <x:v>OTHER</x:v>
      </x:c>
      <x:c r="B28" s="17" t="str">
        <x:v>이원양조장</x:v>
      </x:c>
      <x:c r="C28" s="17" t="str">
        <x:v>Iwonyangjojang Brewery</x:v>
      </x:c>
      <x:c r="D28" s="17"/>
      <x:c r="E28" s="17" t="str"/>
      <x:c r="F28" s="17" t="str">
        <x:v>이원양조장, Iwonyangjojang Brewery</x:v>
      </x:c>
      <x:c r="G28" s="17" t="str">
        <x:v>대한민국</x:v>
      </x:c>
      <x:c r="H28" s="17" t="str"/>
      <x:c r="I28" s="17" t="str">
        <x:v>이원양조장(Iwonyangjojang Brewery)은 대한민국에서 운영되는 대한민국의 증류식 소주 제조사입니다. 공개 자료에서 공개 확인 제품의 제조사로 확인됩니다. 공공 목록에는 등재되어 있으나 2026년 생산·판매 지속 여부를 독립 출처로 추가 확인해야 합니다.</x:v>
      </x:c>
      <x:c r="J28" s="17" t="str">
        <x:v>이원양조장 (Iwonyangjojang Brewery) is a distilled soju producer operating in South Korea. Public sources identify it as the producer of 공개 확인 제품. The producer appears in a public product list, but its continuing production and sales status should be confirmed before registration.</x:v>
      </x:c>
      <x:c r="K28" s="17" t="str"/>
      <x:c r="L28" s="17" t="str">
        <x:v>증류식</x:v>
      </x:c>
      <x:c r="M28" s="17" t="str">
        <x:v>증류주 목록에는 있으나 소주 법정 주종·2026 활동 여부 확인 필요</x:v>
      </x:c>
      <x:c r="N28" s="17" t="str">
        <x:v>https://i.nts.go.kr/llsc/na/ntt/selectNttList.do?bbsId=22830&amp;mi=1511</x:v>
      </x:c>
      <x:c r="O28" s="17" t="str"/>
      <x:c r="P28" s="17" t="str"/>
      <x:c r="Q28" s="17" t="str">
        <x:v>D | 품목 확인 필요</x:v>
      </x:c>
      <x:c r="R28" s="17" t="str">
        <x:v>공식 설립연도 미확인</x:v>
      </x:c>
      <x:c r="S28" s="17" t="str">
        <x:v>권장 로마자 표기 — 등록 전 공식 표기 확인</x:v>
      </x:c>
      <x:c r="T28" s="17" t="str">
        <x:v>제품 라벨 또는 품목제조보고의 주종이 ‘증류식소주’인지 확인 필요</x:v>
      </x:c>
    </x:row>
    <x:row r="29" ht="78" customHeight="1">
      <x:c r="A29" s="17" t="str">
        <x:v>OTHER</x:v>
      </x:c>
      <x:c r="B29" s="17" t="str">
        <x:v>제주샘주</x:v>
      </x:c>
      <x:c r="C29" s="17" t="str">
        <x:v>Jejusaemju Brewery</x:v>
      </x:c>
      <x:c r="D29" s="17"/>
      <x:c r="E29" s="17" t="str">
        <x:v>http://www.jejusaemju.co.kr/</x:v>
      </x:c>
      <x:c r="F29" s="17" t="str">
        <x:v>제주샘주, Jejusaemju Brewery, 세우리</x:v>
      </x:c>
      <x:c r="G29" s="17" t="str">
        <x:v>대한민국</x:v>
      </x:c>
      <x:c r="H29" s="17" t="str">
        <x:v>제주도</x:v>
      </x:c>
      <x:c r="I29" s="17" t="str">
        <x:v>제주샘주(Jejusaemju Brewery)은 제주도에 기반을 둔 대한민국의 증류식 소주 제조사입니다. 공개 자료에서 세우리의 제조사로 확인됩니다. 공개 제품 설명에는 쌀 등을 원료로 사용하는 내용이 확인됩니다. 공공 목록에는 등재되어 있으나 2026년 생산·판매 지속 여부를 독립 출처로 추가 확인해야 합니다.</x:v>
      </x:c>
      <x:c r="J29" s="17" t="str">
        <x:v>제주샘주 (Jejusaemju Brewery) is a distilled soju producer based in Jeju-do, South Korea. Public sources identify it as the producer of 세우리. Published product information refers to ingredients including 쌀. The producer appears in a public product list, but its continuing production and sales status should be confirmed before registration.</x:v>
      </x:c>
      <x:c r="K29" s="17" t="str">
        <x:v>세우리</x:v>
      </x:c>
      <x:c r="L29" s="17" t="str">
        <x:v>증류식</x:v>
      </x:c>
      <x:c r="M29" s="17" t="str">
        <x:v>증류주 목록에는 있으나 소주 법정 주종·2026 활동 여부 확인 필요</x:v>
      </x:c>
      <x:c r="N29" s="17" t="str">
        <x:v>https://thesool.com/front/find/M000000082/view.do?productId=PR00000553</x:v>
      </x:c>
      <x:c r="O29" s="17" t="str">
        <x:v>http://www.jejusaemju.co.kr/</x:v>
      </x:c>
      <x:c r="P29" s="17" t="str"/>
      <x:c r="Q29" s="17" t="str">
        <x:v>D | 품목 확인 필요</x:v>
      </x:c>
      <x:c r="R29" s="17" t="str">
        <x:v>공식 설립연도 미확인</x:v>
      </x:c>
      <x:c r="S29" s="17" t="str">
        <x:v>권장 로마자 표기 — 등록 전 공식 표기 확인</x:v>
      </x:c>
      <x:c r="T29" s="17" t="str">
        <x:v>제품 라벨 또는 품목제조보고의 주종이 ‘증류식소주’인지 확인 필요</x:v>
      </x:c>
    </x:row>
    <x:row r="30" ht="78" customHeight="1">
      <x:c r="A30" s="17" t="str">
        <x:v>OTHER</x:v>
      </x:c>
      <x:c r="B30" s="17" t="str">
        <x:v>화룡양조장</x:v>
      </x:c>
      <x:c r="C30" s="17" t="str">
        <x:v>Hwaryongyangjojang Brewery</x:v>
      </x:c>
      <x:c r="D30" s="17"/>
      <x:c r="E30" s="17" t="str"/>
      <x:c r="F30" s="17" t="str">
        <x:v>화룡양조장, Hwaryongyangjojang Brewery, 두만강곡주골드</x:v>
      </x:c>
      <x:c r="G30" s="17" t="str">
        <x:v>대한민국</x:v>
      </x:c>
      <x:c r="H30" s="17" t="str"/>
      <x:c r="I30" s="17" t="str">
        <x:v>화룡양조장(Hwaryongyangjojang Brewery)은 대한민국에서 운영되는 대한민국의 증류식 소주 제조사입니다. 공개 자료에서 두만강곡주골드의 제조사로 확인됩니다. 공공 목록에는 등재되어 있으나 2026년 생산·판매 지속 여부를 독립 출처로 추가 확인해야 합니다.</x:v>
      </x:c>
      <x:c r="J30" s="17" t="str">
        <x:v>화룡양조장 (Hwaryongyangjojang Brewery) is a distilled soju producer operating in South Korea. Public sources identify it as the producer of 두만강곡주골드. The producer appears in a public product list, but its continuing production and sales status should be confirmed before registration.</x:v>
      </x:c>
      <x:c r="K30" s="17" t="str">
        <x:v>두만강곡주골드</x:v>
      </x:c>
      <x:c r="L30" s="17" t="str">
        <x:v>증류식</x:v>
      </x:c>
      <x:c r="M30" s="17" t="str">
        <x:v>증류주 목록에는 있으나 소주 법정 주종·2026 활동 여부 확인 필요</x:v>
      </x:c>
      <x:c r="N30" s="17" t="str">
        <x:v>https://i.nts.go.kr/llsc/na/ntt/selectNttList.do?bbsId=22830&amp;mi=1511</x:v>
      </x:c>
      <x:c r="O30" s="17" t="str"/>
      <x:c r="P30" s="17" t="str"/>
      <x:c r="Q30" s="17" t="str">
        <x:v>D | 품목 확인 필요</x:v>
      </x:c>
      <x:c r="R30" s="17" t="str">
        <x:v>공식 설립연도 미확인</x:v>
      </x:c>
      <x:c r="S30" s="17" t="str">
        <x:v>권장 로마자 표기 — 등록 전 공식 표기 확인</x:v>
      </x:c>
      <x:c r="T30" s="17" t="str">
        <x:v>제품 라벨 또는 품목제조보고의 주종이 ‘증류식소주’인지 확인 필요</x:v>
      </x:c>
    </x:row>
    <x:row r="31" ht="78" customHeight="1">
      <x:c r="A31" s="17" t="str">
        <x:v>OTHER</x:v>
      </x:c>
      <x:c r="B31" s="17" t="str">
        <x:v>K소주</x:v>
      </x:c>
      <x:c r="C31" s="17" t="str">
        <x:v>Ksoju Brewery</x:v>
      </x:c>
      <x:c r="D31" s="17"/>
      <x:c r="E31" s="17" t="str"/>
      <x:c r="F31" s="17" t="str">
        <x:v>K소주, Ksoju Brewery, 두리향</x:v>
      </x:c>
      <x:c r="G31" s="17" t="str">
        <x:v>대한민국</x:v>
      </x:c>
      <x:c r="H31" s="17" t="str"/>
      <x:c r="I31" s="17" t="str">
        <x:v>K소주(Ksoju Brewery)은 대한민국에서 운영되는 대한민국의 증류식 소주 제조사입니다. 공개 자료에서 두리향의 제조사로 확인됩니다. 공공 목록에는 등재되어 있으나 2026년 생산·판매 지속 여부를 독립 출처로 추가 확인해야 합니다.</x:v>
      </x:c>
      <x:c r="J31" s="17" t="str">
        <x:v>K소주 (Ksoju Brewery) is a distilled soju producer operating in South Korea. Public sources identify it as the producer of 두리향. The producer appears in a public product list, but its continuing production and sales status should be confirmed before registration.</x:v>
      </x:c>
      <x:c r="K31" s="17" t="str">
        <x:v>두리향</x:v>
      </x:c>
      <x:c r="L31" s="17" t="str">
        <x:v>증류식</x:v>
      </x:c>
      <x:c r="M31" s="17" t="str">
        <x:v>증류주 목록에는 있으나 소주 법정 주종·2026 활동 여부 확인 필요</x:v>
      </x:c>
      <x:c r="N31" s="17" t="str">
        <x:v>https://i.nts.go.kr/llsc/na/ntt/selectNttList.do?bbsId=22830&amp;mi=1511</x:v>
      </x:c>
      <x:c r="O31" s="17" t="str"/>
      <x:c r="P31" s="17" t="str"/>
      <x:c r="Q31" s="17" t="str">
        <x:v>D | 품목 확인 필요</x:v>
      </x:c>
      <x:c r="R31" s="17" t="str">
        <x:v>공식 설립연도 미확인</x:v>
      </x:c>
      <x:c r="S31" s="17" t="str">
        <x:v>권장 로마자 표기 — 등록 전 공식 표기 확인</x:v>
      </x:c>
      <x:c r="T31" s="17" t="str">
        <x:v>제품 라벨 또는 품목제조보고의 주종이 ‘증류식소주’인지 확인 필요</x:v>
      </x:c>
    </x:row>
  </x:sheetData>
  <x:mergeCells>
    <x:mergeCell ref="A1:T1"/>
    <x:mergeCell ref="A2:T2"/>
  </x:mergeCells>
  <x:conditionalFormatting sqref="Q5:Q31">
    <x:cfRule type="beginsWith" dxfId="4" priority="1" operator="beginsWith" text="A |"/>
    <x:cfRule type="beginsWith" dxfId="5" priority="2" operator="beginsWith" text="B |"/>
    <x:cfRule type="beginsWith" dxfId="6" priority="3" operator="beginsWith" text="C |"/>
    <x:cfRule type="beginsWith" dxfId="7" priority="4" operator="beginsWith" text="D |"/>
  </x:conditionalFormatting>
  <x:dataValidations count="3">
    <x:dataValidation type="list" sqref="A5:A31">
      <x:formula1>"OTHER"</x:formula1>
    </x:dataValidation>
    <x:dataValidation type="list" sqref="G5:G31">
      <x:formula1>"대한민국"</x:formula1>
    </x:dataValidation>
    <x:dataValidation type="list" sqref="Q5:Q31">
      <x:formula1>"A | 2026 공식 확인,A | 2026 활동 확인,B | 2개 출처 일치,C | 공공자료 확인,D | 품목 확인 필요"</x:formula1>
    </x:dataValidation>
  </x:dataValidations>
  <x:pageMargins left="0.7" right="0.7" top="0.75" bottom="0.75" header="0.3" footer="0.3"/>
  <x:tableParts count="1">
    <x:tablePart xmlns:r="http://schemas.openxmlformats.org/officeDocument/2006/relationships" r:id="R741888dd6a034a1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0" hidden="0" customWidth="1"/>
    <x:col min="2" max="2" width="22" hidden="0" customWidth="1"/>
    <x:col min="3" max="3" width="30" hidden="0" customWidth="1"/>
    <x:col min="4" max="4" width="34" hidden="0" customWidth="1"/>
    <x:col min="5" max="5" width="55" hidden="0" customWidth="1"/>
    <x:col min="6" max="6" width="46" hidden="0" customWidth="1"/>
    <x:col min="7" max="7" width="38" hidden="0" customWidth="1"/>
  </x:cols>
  <x:sheetData>
    <x:row r="1" ht="32" customHeight="1">
      <x:c r="A1" s="3" t="str">
        <x:v>제외·중복 처리 내역</x:v>
      </x:c>
      <x:c r="B1" s="3"/>
      <x:c r="C1" s="3"/>
      <x:c r="D1" s="3"/>
      <x:c r="E1" s="3"/>
      <x:c r="F1" s="3"/>
      <x:c r="G1" s="3"/>
    </x:row>
    <x:row r="2" ht="38" customHeight="1">
      <x:c r="A2" s="7" t="str">
        <x:v>동일 법인의 상호 변형, 비소주 주종, 단종·사업 종료 이력을 분리했습니다.</x:v>
      </x:c>
      <x:c r="B2" s="7"/>
      <x:c r="C2" s="7"/>
      <x:c r="D2" s="7"/>
      <x:c r="E2" s="7"/>
      <x:c r="F2" s="7"/>
      <x:c r="G2" s="7"/>
    </x:row>
    <x:row r="4">
      <x:c r="A4" s="12" t="str">
        <x:v>원표기</x:v>
      </x:c>
      <x:c r="B4" s="12" t="str">
        <x:v>처리</x:v>
      </x:c>
      <x:c r="C4" s="12" t="str">
        <x:v>통합/권장 생산자</x:v>
      </x:c>
      <x:c r="D4" s="12" t="str">
        <x:v>대표 제품</x:v>
      </x:c>
      <x:c r="E4" s="12" t="str">
        <x:v>이유</x:v>
      </x:c>
      <x:c r="F4" s="12" t="str">
        <x:v>근거 URL</x:v>
      </x:c>
      <x:c r="G4" s="12" t="str">
        <x:v>메모</x:v>
      </x:c>
    </x:row>
    <x:row r="5" ht="62" customHeight="1">
      <x:c r="A5" s="21" t="str">
        <x:v>금산인삼주양조장</x:v>
      </x:c>
      <x:c r="B5" s="21" t="str">
        <x:v>범위 제외</x:v>
      </x:c>
      <x:c r="C5" s="21" t="str"/>
      <x:c r="D5" s="21" t="str">
        <x:v>금설</x:v>
      </x:c>
      <x:c r="E5" s="21" t="str">
        <x:v>대표 확인 제품이 금설·인삼주 계열로 소주 분류 근거가 부족</x:v>
      </x:c>
      <x:c r="F5" s="21" t="str">
        <x:v>https://thesool.com/front/find/M000000082/view.do?productId=PR00000739</x:v>
      </x:c>
      <x:c r="G5" s="21" t="str">
        <x:v>향후 일반증류주·리큐르 생산자 조사 때 재검토</x:v>
      </x:c>
    </x:row>
    <x:row r="6" ht="62" customHeight="1">
      <x:c r="A6" s="21" t="str">
        <x:v>농업회사법인 (주)제주왕지케</x:v>
      </x:c>
      <x:c r="B6" s="21" t="str">
        <x:v>범위 제외</x:v>
      </x:c>
      <x:c r="C6" s="21" t="str"/>
      <x:c r="D6" s="21" t="str">
        <x:v>설홍</x:v>
      </x:c>
      <x:c r="E6" s="21" t="str">
        <x:v>대표 확인 제품 설홍의 소주 법정 주종 근거가 부족</x:v>
      </x:c>
      <x:c r="F6" s="21" t="str">
        <x:v>https://thesool.com/front/find/M000000082/view.do?productId=PR00001288</x:v>
      </x:c>
      <x:c r="G6" s="21" t="str">
        <x:v>향후 일반증류주·리큐르 생산자 조사 때 재검토</x:v>
      </x:c>
    </x:row>
    <x:row r="7" ht="62" customHeight="1">
      <x:c r="A7" s="21" t="str">
        <x:v>농업회사법인 팔로미 주식회사</x:v>
      </x:c>
      <x:c r="B7" s="21" t="str">
        <x:v>범위 제외</x:v>
      </x:c>
      <x:c r="C7" s="21" t="str"/>
      <x:c r="D7" s="21" t="str">
        <x:v>팔로미 더 블랙 26 (8ROMI 19+ THE BLACK 26)</x:v>
      </x:c>
      <x:c r="E7" s="21" t="str">
        <x:v>대표 확인 제품 팔로미 더 블랙26의 소주 법정 주종 근거가 부족</x:v>
      </x:c>
      <x:c r="F7" s="21" t="str">
        <x:v>https://thesool.com/front/find/M000000082/view.do?productId=PR00001002</x:v>
      </x:c>
      <x:c r="G7" s="21" t="str">
        <x:v>향후 일반증류주·리큐르 생산자 조사 때 재검토</x:v>
      </x:c>
    </x:row>
    <x:row r="8" ht="62" customHeight="1">
      <x:c r="A8" s="21" t="str">
        <x:v>농업회사법인(주)두레양조</x:v>
      </x:c>
      <x:c r="B8" s="21" t="str">
        <x:v>범위 제외</x:v>
      </x:c>
      <x:c r="C8" s="21" t="str"/>
      <x:c r="D8" s="21" t="str">
        <x:v>두레앙브랜디</x:v>
      </x:c>
      <x:c r="E8" s="21" t="str">
        <x:v>두레앙브랜디는 브랜디로 소주 범위에서 제외</x:v>
      </x:c>
      <x:c r="F8" s="21" t="str">
        <x:v>https://i.nts.go.kr/llsc/na/ntt/selectNttList.do?bbsId=22830&amp;mi=1511</x:v>
      </x:c>
      <x:c r="G8" s="21" t="str">
        <x:v>향후 일반증류주·리큐르 생산자 조사 때 재검토</x:v>
      </x:c>
    </x:row>
    <x:row r="9" ht="62" customHeight="1">
      <x:c r="A9" s="21" t="str">
        <x:v>농업회사법인(주)착한농부</x:v>
      </x:c>
      <x:c r="B9" s="21" t="str">
        <x:v>범위 제외</x:v>
      </x:c>
      <x:c r="C9" s="21" t="str"/>
      <x:c r="D9" s="21" t="str">
        <x:v>착한농부 막시모파인오크 40</x:v>
      </x:c>
      <x:c r="E9" s="21" t="str">
        <x:v>막시모 파인오크는 과실계 일반증류주로 소주 범위에서 제외</x:v>
      </x:c>
      <x:c r="F9" s="21" t="str">
        <x:v>https://thesool.com/front/find/M000000082/view.do?productId=PR00000939</x:v>
      </x:c>
      <x:c r="G9" s="21" t="str">
        <x:v>향후 일반증류주·리큐르 생산자 조사 때 재검토</x:v>
      </x:c>
    </x:row>
    <x:row r="10" ht="62" customHeight="1">
      <x:c r="A10" s="21" t="str">
        <x:v>농업회사법인영덕주조</x:v>
      </x:c>
      <x:c r="B10" s="21" t="str">
        <x:v>범위 제외</x:v>
      </x:c>
      <x:c r="C10" s="21" t="str"/>
      <x:c r="D10" s="21" t="str">
        <x:v>도원결의</x:v>
      </x:c>
      <x:c r="E10" s="21" t="str">
        <x:v>도원결의는 과실 원료 일반증류주로 소주 범위에서 제외</x:v>
      </x:c>
      <x:c r="F10" s="21" t="str">
        <x:v>https://thesool.com/front/find/M000000082/view.do?productId=PR00000510</x:v>
      </x:c>
      <x:c r="G10" s="21" t="str">
        <x:v>향후 일반증류주·리큐르 생산자 조사 때 재검토</x:v>
      </x:c>
    </x:row>
    <x:row r="11" ht="62" customHeight="1">
      <x:c r="A11" s="21" t="str">
        <x:v>댄싱사이더</x:v>
      </x:c>
      <x:c r="B11" s="21" t="str">
        <x:v>범위 제외</x:v>
      </x:c>
      <x:c r="C11" s="21" t="str"/>
      <x:c r="D11" s="21" t="str">
        <x:v>댄싱22</x:v>
      </x:c>
      <x:c r="E11" s="21" t="str">
        <x:v>사과 기반 일반증류주 제조사로 확인되며 소주 제조사로 단정하기 어려움</x:v>
      </x:c>
      <x:c r="F11" s="21" t="str">
        <x:v>https://thesool.com/front/find/M000000082/view.do?productId=PR00001146</x:v>
      </x:c>
      <x:c r="G11" s="21" t="str">
        <x:v>향후 일반증류주·리큐르 생산자 조사 때 재검토</x:v>
      </x:c>
    </x:row>
    <x:row r="12" ht="62" customHeight="1">
      <x:c r="A12" s="21" t="str">
        <x:v>불로주</x:v>
      </x:c>
      <x:c r="B12" s="21" t="str">
        <x:v>범위 제외</x:v>
      </x:c>
      <x:c r="C12" s="21" t="str"/>
      <x:c r="D12" s="21" t="str">
        <x:v>포항불로주</x:v>
      </x:c>
      <x:c r="E12" s="21" t="str">
        <x:v>포항불로주의 소주 법정 주종 근거가 부족</x:v>
      </x:c>
      <x:c r="F12" s="21" t="str">
        <x:v>https://thesool.com/front/find/M000000082/view.do?productId=PR00000572</x:v>
      </x:c>
      <x:c r="G12" s="21" t="str">
        <x:v>향후 일반증류주·리큐르 생산자 조사 때 재검토</x:v>
      </x:c>
    </x:row>
    <x:row r="13" ht="62" customHeight="1">
      <x:c r="A13" s="21" t="str">
        <x:v>솔래원</x:v>
      </x:c>
      <x:c r="B13" s="21" t="str">
        <x:v>범위 제외</x:v>
      </x:c>
      <x:c r="C13" s="21" t="str"/>
      <x:c r="D13" s="21" t="str">
        <x:v>골드윈, 몽루아</x:v>
      </x:c>
      <x:c r="E13" s="21" t="str">
        <x:v>골드윈·몽루아는 브랜디/일반증류주 계열로 소주 범위에서 제외</x:v>
      </x:c>
      <x:c r="F13" s="21" t="str">
        <x:v>https://i.nts.go.kr/llsc/na/ntt/selectNttList.do?bbsId=22830&amp;mi=1511</x:v>
      </x:c>
      <x:c r="G13" s="21" t="str">
        <x:v>향후 일반증류주·리큐르 생산자 조사 때 재검토</x:v>
      </x:c>
    </x:row>
    <x:row r="14" ht="62" customHeight="1">
      <x:c r="A14" s="21" t="str">
        <x:v>솔송주</x:v>
      </x:c>
      <x:c r="B14" s="21" t="str">
        <x:v>범위 제외</x:v>
      </x:c>
      <x:c r="C14" s="21" t="str"/>
      <x:c r="D14" s="21" t="str">
        <x:v>솔직 25도 10년 숙성</x:v>
      </x:c>
      <x:c r="E14" s="21" t="str">
        <x:v>대표 제품이 약재·솔잎 계열 일반증류주/리큐르로 소주 분류 확인이 필요</x:v>
      </x:c>
      <x:c r="F14" s="21" t="str">
        <x:v>https://thesool.com/front/find/M000000082/view.do?productId=PR00001405</x:v>
      </x:c>
      <x:c r="G14" s="21" t="str">
        <x:v>향후 일반증류주·리큐르 생산자 조사 때 재검토</x:v>
      </x:c>
    </x:row>
    <x:row r="15" ht="62" customHeight="1">
      <x:c r="A15" s="21" t="str">
        <x:v>송로주</x:v>
      </x:c>
      <x:c r="B15" s="21" t="str">
        <x:v>범위 제외</x:v>
      </x:c>
      <x:c r="C15" s="21" t="str"/>
      <x:c r="D15" s="21" t="str">
        <x:v>송로주</x:v>
      </x:c>
      <x:c r="E15" s="21" t="str">
        <x:v>송로주 계열 전통주로, 소주 법정 주종 근거가 부족</x:v>
      </x:c>
      <x:c r="F15" s="21" t="str">
        <x:v>https://thesool.com/front/find/M000000082/view.do?productId=PR00000582</x:v>
      </x:c>
      <x:c r="G15" s="21" t="str">
        <x:v>향후 일반증류주·리큐르 생산자 조사 때 재검토</x:v>
      </x:c>
    </x:row>
    <x:row r="16" ht="62" customHeight="1">
      <x:c r="A16" s="21" t="str">
        <x:v>술빚는 전가네 / 술빚는전가네</x:v>
      </x:c>
      <x:c r="B16" s="21" t="str">
        <x:v>범위 제외</x:v>
      </x:c>
      <x:c r="C16" s="21" t="str"/>
      <x:c r="D16" s="21" t="str">
        <x:v>산정호수 솔잎주, 육십일도</x:v>
      </x:c>
      <x:c r="E16" s="21" t="str">
        <x:v>솔잎주·육십일도는 일반증류주 성격으로 소주 등록 여부 재확인 필요</x:v>
      </x:c>
      <x:c r="F16" s="21" t="str">
        <x:v>https://thesool.com/front/find/M000000082/view.do?productId=PR00001081</x:v>
      </x:c>
      <x:c r="G16" s="21" t="str">
        <x:v>향후 일반증류주·리큐르 생산자 조사 때 재검토</x:v>
      </x:c>
    </x:row>
    <x:row r="17" ht="62" customHeight="1">
      <x:c r="A17" s="21" t="str">
        <x:v>전주 이강주</x:v>
      </x:c>
      <x:c r="B17" s="21" t="str">
        <x:v>범위 제외</x:v>
      </x:c>
      <x:c r="C17" s="21" t="str"/>
      <x:c r="D17" s="21" t="str">
        <x:v>이강주 5호</x:v>
      </x:c>
      <x:c r="E17" s="21" t="str">
        <x:v>이강주는 배·생강 등 향미 재료를 쓰는 전통 리큐르로, 소주 생산자 범위에서 제외</x:v>
      </x:c>
      <x:c r="F17" s="21" t="str">
        <x:v>https://thesool.com/front/find/M000000082/view.do?productId=PR00001114</x:v>
      </x:c>
      <x:c r="G17" s="21" t="str">
        <x:v>향후 일반증류주·리큐르 생산자 조사 때 재검토</x:v>
      </x:c>
    </x:row>
    <x:row r="18" ht="62" customHeight="1">
      <x:c r="A18" s="21" t="str">
        <x:v>참주가</x:v>
      </x:c>
      <x:c r="B18" s="21" t="str">
        <x:v>범위 제외</x:v>
      </x:c>
      <x:c r="C18" s="21" t="str"/>
      <x:c r="D18" s="21" t="str">
        <x:v>참주가 청화랑</x:v>
      </x:c>
      <x:c r="E18" s="21" t="str">
        <x:v>대표 확인 제품 청화랑의 소주 법정 주종 근거가 부족</x:v>
      </x:c>
      <x:c r="F18" s="21" t="str">
        <x:v>https://thesool.com/front/find/M000000082/view.do?productId=PR00000942</x:v>
      </x:c>
      <x:c r="G18" s="21" t="str">
        <x:v>향후 일반증류주·리큐르 생산자 조사 때 재검토</x:v>
      </x:c>
    </x:row>
    <x:row r="19" ht="62" customHeight="1">
      <x:c r="A19" s="21" t="str">
        <x:v>추성고을</x:v>
      </x:c>
      <x:c r="B19" s="21" t="str">
        <x:v>범위 제외</x:v>
      </x:c>
      <x:c r="C19" s="21" t="str"/>
      <x:c r="D19" s="21" t="str">
        <x:v>죽력고40, 추성주</x:v>
      </x:c>
      <x:c r="E19" s="21" t="str">
        <x:v>대표 확인 제품 죽력고는 전통 증류주이지만 소주 등록 범위와 구분 필요</x:v>
      </x:c>
      <x:c r="F19" s="21" t="str">
        <x:v>https://thesool.com/front/find/M000000082/view.do?productId=PR00001460</x:v>
      </x:c>
      <x:c r="G19" s="21" t="str">
        <x:v>향후 일반증류주·리큐르 생산자 조사 때 재검토</x:v>
      </x:c>
    </x:row>
    <x:row r="20" ht="62" customHeight="1">
      <x:c r="A20" s="21" t="str">
        <x:v>태평주가 / (농)㈜태평주가</x:v>
      </x:c>
      <x:c r="B20" s="21" t="str">
        <x:v>범위 제외</x:v>
      </x:c>
      <x:c r="C20" s="21" t="str"/>
      <x:c r="D20" s="21" t="str">
        <x:v>진심 인삼주, 진심홍삼인삼주 38%, 19%</x:v>
      </x:c>
      <x:c r="E20" s="21" t="str">
        <x:v>대표 확인 제품이 인삼주 계열로 소주 여부가 불명확</x:v>
      </x:c>
      <x:c r="F20" s="21" t="str">
        <x:v>https://thesool.com/front/find/M000000082/view.do?productId=PR00001006</x:v>
      </x:c>
      <x:c r="G20" s="21" t="str">
        <x:v>향후 일반증류주·리큐르 생산자 조사 때 재검토</x:v>
      </x:c>
    </x:row>
    <x:row r="21" ht="62" customHeight="1">
      <x:c r="A21" s="21" t="str">
        <x:v>회곡양조장</x:v>
      </x:c>
      <x:c r="B21" s="21" t="str">
        <x:v>범위 제외</x:v>
      </x:c>
      <x:c r="C21" s="21" t="str"/>
      <x:c r="D21" s="21" t="str">
        <x:v>안동 국화주</x:v>
      </x:c>
      <x:c r="E21" s="21" t="str">
        <x:v>대표 확인 제품이 안동 국화주로 소주 분류 근거가 부족</x:v>
      </x:c>
      <x:c r="F21" s="21" t="str">
        <x:v>https://thesool.com/front/find/M000000082/view.do?productId=PR00001345</x:v>
      </x:c>
      <x:c r="G21" s="21" t="str">
        <x:v>향후 일반증류주·리큐르 생산자 조사 때 재검토</x:v>
      </x:c>
    </x:row>
    <x:row r="22" ht="62" customHeight="1">
      <x:c r="A22" s="21" t="str">
        <x:v>농업회사법인 토끼소주 / 농업회사법인 토끼소주 (주)</x:v>
      </x:c>
      <x:c r="B22" s="21" t="str">
        <x:v>중복 통합</x:v>
      </x:c>
      <x:c r="C22" s="21" t="str">
        <x:v>농업회사법인 토끼소주㈜</x:v>
      </x:c>
      <x:c r="D22" s="21" t="str">
        <x:v>토끼소주 블랙</x:v>
      </x:c>
      <x:c r="E22" s="21" t="str">
        <x:v>주소·공식 사이트가 동일</x:v>
      </x:c>
      <x:c r="F22" s="21" t="str">
        <x:v>https://thesool.com/front/find/M000000086/list.do?kind=CD00000144</x:v>
      </x:c>
      <x:c r="G22" s="21" t="str">
        <x:v>통합 대상 생산자 1건만 등록</x:v>
      </x:c>
    </x:row>
    <x:row r="23" ht="62" customHeight="1">
      <x:c r="A23" s="21" t="str">
        <x:v>담을 / 농업회사법인 담을</x:v>
      </x:c>
      <x:c r="B23" s="21" t="str">
        <x:v>중복 통합</x:v>
      </x:c>
      <x:c r="C23" s="21" t="str">
        <x:v>농업회사법인 담을</x:v>
      </x:c>
      <x:c r="D23" s="21" t="str">
        <x:v>주향담을, 주향이오</x:v>
      </x:c>
      <x:c r="E23" s="21" t="str">
        <x:v>주소·제품·판매 페이지가 동일</x:v>
      </x:c>
      <x:c r="F23" s="21" t="str">
        <x:v>https://thesool.com/front/find/M000000086/list.do?kind=CD00000144</x:v>
      </x:c>
      <x:c r="G23" s="21" t="str">
        <x:v>통합 대상 생산자 1건만 등록</x:v>
      </x:c>
    </x:row>
    <x:row r="24" ht="62" customHeight="1">
      <x:c r="A24" s="21" t="str">
        <x:v>두이술공방 / 농업회사법인 아리랑주조㈜</x:v>
      </x:c>
      <x:c r="B24" s="21" t="str">
        <x:v>중복 통합</x:v>
      </x:c>
      <x:c r="C24" s="21" t="str">
        <x:v>농업회사법인 아리랑주조㈜</x:v>
      </x:c>
      <x:c r="D24" s="21" t="str">
        <x:v>겨울소주</x:v>
      </x:c>
      <x:c r="E24" s="21" t="str">
        <x:v>주소·판매 페이지가 동일</x:v>
      </x:c>
      <x:c r="F24" s="21" t="str">
        <x:v>https://thesool.com/front/find/M000000086/list.do?kind=CD00000144</x:v>
      </x:c>
      <x:c r="G24" s="21" t="str">
        <x:v>통합 대상 생산자 1건만 등록</x:v>
      </x:c>
    </x:row>
    <x:row r="25" ht="62" customHeight="1">
      <x:c r="A25" s="21" t="str">
        <x:v>모월 / 모월 협동조합 / 주담</x:v>
      </x:c>
      <x:c r="B25" s="21" t="str">
        <x:v>중복 통합</x:v>
      </x:c>
      <x:c r="C25" s="21" t="str">
        <x:v>협동조합 모월</x:v>
      </x:c>
      <x:c r="D25" s="21" t="str">
        <x:v>모월 로, 모월 인</x:v>
      </x:c>
      <x:c r="E25" s="21" t="str">
        <x:v>국세청과 더술닷컴의 시기별 표기 차이</x:v>
      </x:c>
      <x:c r="F25" s="21" t="str">
        <x:v>https://thesool.com/front/find/M000000086/list.do?kind=CD00000144</x:v>
      </x:c>
      <x:c r="G25" s="21" t="str">
        <x:v>통합 대상 생산자 1건만 등록</x:v>
      </x:c>
    </x:row>
    <x:row r="26" ht="62" customHeight="1">
      <x:c r="A26" s="21" t="str">
        <x:v>배혜정도가 / (주)배혜정농업회사법인</x:v>
      </x:c>
      <x:c r="B26" s="21" t="str">
        <x:v>중복 통합</x:v>
      </x:c>
      <x:c r="C26" s="21" t="str">
        <x:v>㈜배혜정농업회사법인</x:v>
      </x:c>
      <x:c r="D26" s="21" t="str">
        <x:v>로아, 우곡소주, 도래하</x:v>
      </x:c>
      <x:c r="E26" s="21" t="str">
        <x:v>주소가 같고 공식 사이트가 동일 계열 생산자로 연결됨</x:v>
      </x:c>
      <x:c r="F26" s="21" t="str">
        <x:v>https://thesool.com/front/find/M000000086/list.do?kind=CD00000144</x:v>
      </x:c>
      <x:c r="G26" s="21" t="str">
        <x:v>통합 대상 생산자 1건만 등록</x:v>
      </x:c>
    </x:row>
    <x:row r="27" ht="62" customHeight="1">
      <x:c r="A27" s="21" t="str">
        <x:v>연천양조 / 농업회사법인 연천양조(주)</x:v>
      </x:c>
      <x:c r="B27" s="21" t="str">
        <x:v>중복 통합</x:v>
      </x:c>
      <x:c r="C27" s="21" t="str">
        <x:v>농업회사법인 연천양조㈜</x:v>
      </x:c>
      <x:c r="D27" s="21" t="str">
        <x:v>연천우주</x:v>
      </x:c>
      <x:c r="E27" s="21" t="str">
        <x:v>공식 판매 페이지가 동일하며 표기만 다름</x:v>
      </x:c>
      <x:c r="F27" s="21" t="str">
        <x:v>https://thesool.com/front/find/M000000086/list.do?kind=CD00000144</x:v>
      </x:c>
      <x:c r="G27" s="21" t="str">
        <x:v>통합 대상 생산자 1건만 등록</x:v>
      </x:c>
    </x:row>
    <x:row r="28" ht="62" customHeight="1">
      <x:c r="A28" s="21" t="str">
        <x:v>온 증류소 / 농업회사법인 (주)온증류소</x:v>
      </x:c>
      <x:c r="B28" s="21" t="str">
        <x:v>중복 통합</x:v>
      </x:c>
      <x:c r="C28" s="21" t="str">
        <x:v>농업회사법인 ㈜온증류소</x:v>
      </x:c>
      <x:c r="D28" s="21" t="str">
        <x:v>형형, 연연</x:v>
      </x:c>
      <x:c r="E28" s="21" t="str">
        <x:v>주소·판매 페이지가 동일</x:v>
      </x:c>
      <x:c r="F28" s="21" t="str">
        <x:v>https://thesool.com/front/find/M000000086/list.do?kind=CD00000144</x:v>
      </x:c>
      <x:c r="G28" s="21" t="str">
        <x:v>통합 대상 생산자 1건만 등록</x:v>
      </x:c>
    </x:row>
    <x:row r="29" ht="62" customHeight="1">
      <x:c r="A29" s="21" t="str">
        <x:v>조은술 세종 / 조은술세종</x:v>
      </x:c>
      <x:c r="B29" s="21" t="str">
        <x:v>중복 통합</x:v>
      </x:c>
      <x:c r="C29" s="21" t="str">
        <x:v>조은술세종㈜</x:v>
      </x:c>
      <x:c r="D29" s="21" t="str">
        <x:v>이도</x:v>
      </x:c>
      <x:c r="E29" s="21" t="str">
        <x:v>주소·제품·국세청 표기가 동일</x:v>
      </x:c>
      <x:c r="F29" s="21" t="str">
        <x:v>https://thesool.com/front/find/M000000086/list.do?kind=CD00000144</x:v>
      </x:c>
      <x:c r="G29" s="21" t="str">
        <x:v>통합 대상 생산자 1건만 등록</x:v>
      </x:c>
    </x:row>
    <x:row r="30" ht="62" customHeight="1">
      <x:c r="A30" s="21" t="str">
        <x:v>태평주가 / (농)㈜태평주가</x:v>
      </x:c>
      <x:c r="B30" s="21" t="str">
        <x:v>중복 통합 후 범위 제외</x:v>
      </x:c>
      <x:c r="C30" s="21" t="str">
        <x:v>농업회사법인 ㈜태평주가</x:v>
      </x:c>
      <x:c r="D30" s="21" t="str">
        <x:v>진심 인삼주</x:v>
      </x:c>
      <x:c r="E30" s="21" t="str">
        <x:v>동일 제조사이나 소주보다 인삼주로 확인되어 제외</x:v>
      </x:c>
      <x:c r="F30" s="21" t="str">
        <x:v>https://thesool.com/front/find/M000000086/list.do?kind=CD00000144</x:v>
      </x:c>
      <x:c r="G30" s="21" t="str">
        <x:v>통합 대상 생산자 1건만 등록</x:v>
      </x:c>
    </x:row>
  </x:sheetData>
  <x:mergeCells>
    <x:mergeCell ref="A1:G1"/>
    <x:mergeCell ref="A2:G2"/>
  </x:mergeCells>
  <x:pageMargins left="0.7" right="0.7" top="0.75" bottom="0.75" header="0.3" footer="0.3"/>
  <x:tableParts count="1">
    <x:tablePart xmlns:r="http://schemas.openxmlformats.org/officeDocument/2006/relationships" r:id="Re60e8652d1094c8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48" hidden="0" customWidth="1"/>
    <x:col min="3" max="3" width="62" hidden="0" customWidth="1"/>
    <x:col min="4" max="4" width="55" hidden="0" customWidth="1"/>
  </x:cols>
  <x:sheetData>
    <x:row r="1" ht="32" customHeight="1">
      <x:c r="A1" s="3" t="str">
        <x:v>조사 기준·등록 규칙</x:v>
      </x:c>
      <x:c r="B1" s="3"/>
      <x:c r="C1" s="3"/>
      <x:c r="D1" s="3"/>
    </x:row>
    <x:row r="2" ht="38" customHeight="1">
      <x:c r="A2" s="7" t="str">
        <x:v>‘전부’에 최대한 근접하되 공개 자료가 증명할 수 있는 범위와 확인 한계를 함께 기록했습니다.</x:v>
      </x:c>
      <x:c r="B2" s="7"/>
      <x:c r="C2" s="7"/>
      <x:c r="D2" s="7"/>
    </x:row>
    <x:row r="4">
      <x:c r="A4" s="12" t="str">
        <x:v>항목</x:v>
      </x:c>
      <x:c r="B4" s="12" t="str">
        <x:v>적용 기준</x:v>
      </x:c>
      <x:c r="C4" s="12" t="str">
        <x:v>실무 처리</x:v>
      </x:c>
      <x:c r="D4" s="12" t="str">
        <x:v>주요 근거</x:v>
      </x:c>
    </x:row>
    <x:row r="5" ht="58" customHeight="1">
      <x:c r="A5" s="25" t="str">
        <x:v>조사 기준일</x:v>
      </x:c>
      <x:c r="B5" s="25" t="str">
        <x:v>2026-09-01</x:v>
      </x:c>
      <x:c r="C5" s="25" t="str">
        <x:v>기준일 현재 대한민국에서 생산·판매 중이라는 공개 근거를 우선</x:v>
      </x:c>
      <x:c r="D5" s="25" t="str">
        <x:v>국세청 2026 K-SUUL, 더술닷컴, 제조사 공식 페이지</x:v>
      </x:c>
    </x:row>
    <x:row r="6" ht="58" customHeight="1">
      <x:c r="A6" s="25" t="str">
        <x:v>확정 범위</x:v>
      </x:c>
      <x:c r="B6" s="25" t="str">
        <x:v>희석식 소주와 증류식 소주 제조사</x:v>
      </x:c>
      <x:c r="C6" s="25" t="str">
        <x:v>2026 정부 자료 또는 공공 카탈로그+독립 제조사/판매 페이지가 일치하는 경우 확정</x:v>
      </x:c>
      <x:c r="D6" s="25" t="str">
        <x:v>등록용_확정 시트</x:v>
      </x:c>
    </x:row>
    <x:row r="7" ht="58" customHeight="1">
      <x:c r="A7" s="25" t="str">
        <x:v>후보 범위</x:v>
      </x:c>
      <x:c r="B7" s="25" t="str">
        <x:v>공공 목록 1곳만 확인되거나 법정 주종이 불명확한 증류주 제조사</x:v>
      </x:c>
      <x:c r="C7" s="25" t="str">
        <x:v>제조사 문의·제품 라벨·품목제조보고에서 ‘증류식소주’와 현재 판매 여부 확인 후 등록</x:v>
      </x:c>
      <x:c r="D7" s="25" t="str">
        <x:v>검토필요_후보 시트</x:v>
      </x:c>
    </x:row>
    <x:row r="8" ht="58" customHeight="1">
      <x:c r="A8" s="25" t="str">
        <x:v>비소주 제외</x:v>
      </x:c>
      <x:c r="B8" s="25" t="str">
        <x:v>브랜디·리큐르·과실/약재 일반증류주가 주된 확인 제품인 업체</x:v>
      </x:c>
      <x:c r="C8" s="25" t="str">
        <x:v>향후 일반증류주 생산자 조사에서 별도 검토</x:v>
      </x:c>
      <x:c r="D8" s="25" t="str">
        <x:v>제외_중복 시트</x:v>
      </x:c>
    </x:row>
    <x:row r="9" ht="58" customHeight="1">
      <x:c r="A9" s="25" t="str">
        <x:v>생산자 종류</x:v>
      </x:c>
      <x:c r="B9" s="25" t="str">
        <x:v>현재 enum에 소주 전용 값이 없음</x:v>
      </x:c>
      <x:c r="C9" s="25" t="str">
        <x:v>모두 OTHER로 입력. 제품 등록 때 otherType=SOJU 사용</x:v>
      </x:c>
      <x:c r="D9" s="25" t="str">
        <x:v>프로젝트 관리자 폼·enum 확인</x:v>
      </x:c>
    </x:row>
    <x:row r="10" ht="58" customHeight="1">
      <x:c r="A10" s="25" t="str">
        <x:v>국가</x:v>
      </x:c>
      <x:c r="B10" s="25" t="str">
        <x:v>대한민국</x:v>
      </x:c>
      <x:c r="C10" s="25" t="str">
        <x:v>모두 대한민국으로 입력</x:v>
      </x:c>
      <x:c r="D10" s="25" t="str">
        <x:v>생산 주소 기준</x:v>
      </x:c>
    </x:row>
    <x:row r="11" ht="58" customHeight="1">
      <x:c r="A11" s="25" t="str">
        <x:v>지역</x:v>
      </x:c>
      <x:c r="B11" s="25" t="str">
        <x:v>단일 생산 거점은 광역 시·도, 복수 거점 대기업은 공란</x:v>
      </x:c>
      <x:c r="C11" s="25" t="str">
        <x:v>제품에 생산자 지역이 자동 복사될 수 있으므로 대기업은 오해 방지를 위해 비움</x:v>
      </x:c>
      <x:c r="D11" s="25" t="str">
        <x:v>프로젝트 지역 표기 규칙</x:v>
      </x:c>
    </x:row>
    <x:row r="12" ht="58" customHeight="1">
      <x:c r="A12" s="25" t="str">
        <x:v>설립연도</x:v>
      </x:c>
      <x:c r="B12" s="25" t="str">
        <x:v>공식 연혁에서 명확한 경우만 기입</x:v>
      </x:c>
      <x:c r="C12" s="25" t="str">
        <x:v>브랜드 출시연도·가문 전승연도와 법인 설립연도를 혼용하지 않음. 불명확하면 공란</x:v>
      </x:c>
      <x:c r="D12" s="25" t="str">
        <x:v>설립연도 근거·주의 열</x:v>
      </x:c>
    </x:row>
    <x:row r="13" ht="58" customHeight="1">
      <x:c r="A13" s="25" t="str">
        <x:v>영어명</x:v>
      </x:c>
      <x:c r="B13" s="25" t="str">
        <x:v>공식 영문 표기를 우선</x:v>
      </x:c>
      <x:c r="C13" s="25" t="str">
        <x:v>공식 표기가 없으면 검색을 위한 권장 로마자 표기를 제공하고 검토 표시</x:v>
      </x:c>
      <x:c r="D13" s="25" t="str">
        <x:v>영문명 표기 열</x:v>
      </x:c>
    </x:row>
    <x:row r="14" ht="58" customHeight="1">
      <x:c r="A14" s="25" t="str">
        <x:v>소개문</x:v>
      </x:c>
      <x:c r="B14" s="25" t="str">
        <x:v>제품·지역·연혁·검증 근거만 기술</x:v>
      </x:c>
      <x:c r="C14" s="25" t="str">
        <x:v>맛·명성·수상 등 확인되지 않은 홍보성 표현은 넣지 않음</x:v>
      </x:c>
      <x:c r="D14" s="25" t="str">
        <x:v>출처 URL 1~3</x:v>
      </x:c>
    </x:row>
    <x:row r="15" ht="58" customHeight="1">
      <x:c r="A15" s="25" t="str">
        <x:v>완전성 한계</x:v>
      </x:c>
      <x:c r="B15" s="25" t="str">
        <x:v>공개된 최신 주류 제조면허 전체 명부와 실시간 판매 상태를 결합한 단일 자료는 확인되지 않음</x:v>
      </x:c>
      <x:c r="C15" s="25" t="str">
        <x:v>따라서 확정/후보/제외를 분리. ‘절대적 전수’가 아니라 공개 근거 기반 최대 포괄 목록</x:v>
      </x:c>
      <x:c r="D15" s="25" t="str">
        <x:v>aT 2025 주류산업 실태조사</x:v>
      </x:c>
    </x:row>
    <x:row r="16" ht="58" customHeight="1">
      <x:c r="A16" s="25" t="str">
        <x:v>주요 공공출처 1</x:v>
      </x:c>
      <x:c r="B16" s="25" t="str">
        <x:v>국세청 2026 K-SUUL 보도자료</x:v>
      </x:c>
      <x:c r="C16" s="25" t="str">
        <x:v>2026년 참가·전시 제품으로 현재 활동 강하게 확인</x:v>
      </x:c>
      <x:c r="D16" s="25" t="str">
        <x:v>https://t.nts.go.kr/dongdaegu/na/ntt/selectNttInfo.do?mi=2201&amp;nttSn=1351814</x:v>
      </x:c>
    </x:row>
    <x:row r="17" ht="58" customHeight="1">
      <x:c r="A17" s="25" t="str">
        <x:v>주요 공공출처 2</x:v>
      </x:c>
      <x:c r="B17" s="25" t="str">
        <x:v>농림축산식품부·aT 더술닷컴 증류주 카탈로그</x:v>
      </x:c>
      <x:c r="C17" s="25" t="str">
        <x:v>제품·제조사·주소·홈페이지·원료 교차 확인</x:v>
      </x:c>
      <x:c r="D17" s="25" t="str">
        <x:v>https://thesool.com/front/find/M000000086/list.do?kind=CD00000144</x:v>
      </x:c>
    </x:row>
    <x:row r="18" ht="58" customHeight="1">
      <x:c r="A18" s="25" t="str">
        <x:v>주요 공공출처 3</x:v>
      </x:c>
      <x:c r="B18" s="25" t="str">
        <x:v>국세청주류면허지원센터 국내주류소개</x:v>
      </x:c>
      <x:c r="C18" s="25" t="str">
        <x:v>과거 등록 제품·제조사 보강. 최신성은 별도 검증</x:v>
      </x:c>
      <x:c r="D18" s="25" t="str">
        <x:v>https://i.nts.go.kr/llsc/na/ntt/selectNttList.do?bbsId=22830&amp;mi=1511</x:v>
      </x:c>
    </x:row>
    <x:row r="19" ht="58" customHeight="1">
      <x:c r="A19" s="25" t="str">
        <x:v>산업 범위 참고</x:v>
      </x:c>
      <x:c r="B19" s="25" t="str">
        <x:v>aT 2025 주류산업 실태조사(2026-04 게시)</x:v>
      </x:c>
      <x:c r="C19" s="25" t="str">
        <x:v>산업 통계·증류식 소주 범위 참고. 업체 실명 전수명부는 아님</x:v>
      </x:c>
      <x:c r="D19" s="25" t="str">
        <x:v>https://atfis.or.kr/home/board/FB0003.do?act=read&amp;bcaId=10008&amp;bpoId=5821</x:v>
      </x:c>
    </x:row>
  </x:sheetData>
  <x:mergeCells>
    <x:mergeCell ref="A1:D1"/>
    <x:mergeCell ref="A2:D2"/>
  </x:mergeCells>
  <x:pageMargins left="0.7" right="0.7" top="0.75" bottom="0.75" header="0.3" footer="0.3"/>
</x:worksheet>
</file>